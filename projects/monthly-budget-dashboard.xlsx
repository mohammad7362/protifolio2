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pt Monthly Spend" sheetId="2" state="visible" r:id="rId2"/>
    <sheet name="Vendor Spend" sheetId="3" state="visible" r:id="rId3"/>
  </sheets>
  <definedNames>
    <definedName name="_xlnm._FilterDatabase" localSheetId="0" hidden="1">'Executive Summary'!$A$4:$E$14</definedName>
    <definedName name="_xlnm._FilterDatabase" localSheetId="1" hidden="1">'Dept Monthly Spend'!$A$4:$N$14</definedName>
    <definedName name="_xlnm._FilterDatabase" localSheetId="2" hidden="1">'Vendor Spend'!$A$4:$G$19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B2430"/>
    </font>
  </fonts>
  <fills count="5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EAF1F8"/>
      </patternFill>
    </fill>
    <fill>
      <patternFill patternType="solid">
        <fgColor rgb="00DDF3EC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center" vertical="center"/>
    </xf>
    <xf numFmtId="0" fontId="3" fillId="4" borderId="1" pivotButton="0" quotePrefix="0" xfId="0"/>
    <xf numFmtId="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Actual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Summary'!B4</f>
            </strRef>
          </tx>
          <spPr>
            <a:ln>
              <a:prstDash val="solid"/>
            </a:ln>
          </spPr>
          <cat>
            <numRef>
              <f>'Executive Summary'!$A$5:$A$14</f>
            </numRef>
          </cat>
          <val>
            <numRef>
              <f>'Executive Summary'!$B$5:$B$14</f>
            </numRef>
          </val>
        </ser>
        <ser>
          <idx val="1"/>
          <order val="1"/>
          <tx>
            <strRef>
              <f>'Executive Summary'!C4</f>
            </strRef>
          </tx>
          <spPr>
            <a:ln>
              <a:prstDash val="solid"/>
            </a:ln>
          </spPr>
          <cat>
            <numRef>
              <f>'Executive Summary'!$A$5:$A$14</f>
            </numRef>
          </cat>
          <val>
            <numRef>
              <f>'Executive Summary'!$C$5:$C$14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12" customWidth="1" min="4" max="4"/>
    <col width="15" customWidth="1" min="5" max="5"/>
  </cols>
  <sheetData>
    <row r="1">
      <c r="A1" s="1" t="inlineStr">
        <is>
          <t>Enterprise Budget Dashboard</t>
        </is>
      </c>
    </row>
    <row r="2">
      <c r="A2" s="2" t="inlineStr">
        <is>
          <t>Consolidated annual budget view for a multi-department company</t>
        </is>
      </c>
    </row>
    <row r="3"/>
    <row r="4">
      <c r="A4" s="3" t="inlineStr">
        <is>
          <t>Department</t>
        </is>
      </c>
      <c r="B4" s="3" t="inlineStr">
        <is>
          <t>Annual Budget</t>
        </is>
      </c>
      <c r="C4" s="3" t="inlineStr">
        <is>
          <t>Actual Spend</t>
        </is>
      </c>
      <c r="D4" s="3" t="inlineStr">
        <is>
          <t>Variance</t>
        </is>
      </c>
      <c r="E4" s="3" t="inlineStr">
        <is>
          <t>Utilization %</t>
        </is>
      </c>
    </row>
    <row r="5">
      <c r="A5" s="4" t="inlineStr">
        <is>
          <t>Finance</t>
        </is>
      </c>
      <c r="B5" s="5" t="n">
        <v>480000</v>
      </c>
      <c r="C5" s="5" t="n">
        <v>455200</v>
      </c>
      <c r="D5" s="4">
        <f>C5-B5</f>
        <v/>
      </c>
      <c r="E5" s="4">
        <f>C5/B5</f>
        <v/>
      </c>
    </row>
    <row r="6">
      <c r="A6" s="4" t="inlineStr">
        <is>
          <t>Operations</t>
        </is>
      </c>
      <c r="B6" s="5" t="n">
        <v>1250000</v>
      </c>
      <c r="C6" s="5" t="n">
        <v>1198000</v>
      </c>
      <c r="D6" s="4">
        <f>C6-B6</f>
        <v/>
      </c>
      <c r="E6" s="4">
        <f>C6/B6</f>
        <v/>
      </c>
    </row>
    <row r="7">
      <c r="A7" s="4" t="inlineStr">
        <is>
          <t>Sales</t>
        </is>
      </c>
      <c r="B7" s="5" t="n">
        <v>940000</v>
      </c>
      <c r="C7" s="5" t="n">
        <v>973500</v>
      </c>
      <c r="D7" s="4">
        <f>C7-B7</f>
        <v/>
      </c>
      <c r="E7" s="4">
        <f>C7/B7</f>
        <v/>
      </c>
    </row>
    <row r="8">
      <c r="A8" s="4" t="inlineStr">
        <is>
          <t>Marketing</t>
        </is>
      </c>
      <c r="B8" s="5" t="n">
        <v>760000</v>
      </c>
      <c r="C8" s="5" t="n">
        <v>781300</v>
      </c>
      <c r="D8" s="4">
        <f>C8-B8</f>
        <v/>
      </c>
      <c r="E8" s="4">
        <f>C8/B8</f>
        <v/>
      </c>
    </row>
    <row r="9">
      <c r="A9" s="4" t="inlineStr">
        <is>
          <t>Information Technology</t>
        </is>
      </c>
      <c r="B9" s="5" t="n">
        <v>890000</v>
      </c>
      <c r="C9" s="5" t="n">
        <v>854400</v>
      </c>
      <c r="D9" s="4">
        <f>C9-B9</f>
        <v/>
      </c>
      <c r="E9" s="4">
        <f>C9/B9</f>
        <v/>
      </c>
    </row>
    <row r="10">
      <c r="A10" s="4" t="inlineStr">
        <is>
          <t>Human Resources</t>
        </is>
      </c>
      <c r="B10" s="5" t="n">
        <v>350000</v>
      </c>
      <c r="C10" s="5" t="n">
        <v>338600</v>
      </c>
      <c r="D10" s="4">
        <f>C10-B10</f>
        <v/>
      </c>
      <c r="E10" s="4">
        <f>C10/B10</f>
        <v/>
      </c>
    </row>
    <row r="11">
      <c r="A11" s="4" t="inlineStr">
        <is>
          <t>Procurement</t>
        </is>
      </c>
      <c r="B11" s="5" t="n">
        <v>420000</v>
      </c>
      <c r="C11" s="5" t="n">
        <v>409800</v>
      </c>
      <c r="D11" s="4">
        <f>C11-B11</f>
        <v/>
      </c>
      <c r="E11" s="4">
        <f>C11/B11</f>
        <v/>
      </c>
    </row>
    <row r="12">
      <c r="A12" s="4" t="inlineStr">
        <is>
          <t>Logistics</t>
        </is>
      </c>
      <c r="B12" s="5" t="n">
        <v>680000</v>
      </c>
      <c r="C12" s="5" t="n">
        <v>701200</v>
      </c>
      <c r="D12" s="4">
        <f>C12-B12</f>
        <v/>
      </c>
      <c r="E12" s="4">
        <f>C12/B12</f>
        <v/>
      </c>
    </row>
    <row r="13">
      <c r="A13" s="4" t="inlineStr">
        <is>
          <t>Legal &amp; Compliance</t>
        </is>
      </c>
      <c r="B13" s="5" t="n">
        <v>310000</v>
      </c>
      <c r="C13" s="5" t="n">
        <v>299500</v>
      </c>
      <c r="D13" s="4">
        <f>C13-B13</f>
        <v/>
      </c>
      <c r="E13" s="4">
        <f>C13/B13</f>
        <v/>
      </c>
    </row>
    <row r="14">
      <c r="A14" s="4" t="inlineStr">
        <is>
          <t>Facilities</t>
        </is>
      </c>
      <c r="B14" s="5" t="n">
        <v>525000</v>
      </c>
      <c r="C14" s="5" t="n">
        <v>536400</v>
      </c>
      <c r="D14" s="4">
        <f>C14-B14</f>
        <v/>
      </c>
      <c r="E14" s="4">
        <f>C14/B14</f>
        <v/>
      </c>
    </row>
    <row r="16">
      <c r="A16" s="6" t="inlineStr">
        <is>
          <t>Total Budget</t>
        </is>
      </c>
      <c r="B16" s="7">
        <f>SUM(B5:B14)</f>
        <v/>
      </c>
    </row>
    <row r="17">
      <c r="A17" s="6" t="inlineStr">
        <is>
          <t>Total Actual Spend</t>
        </is>
      </c>
      <c r="B17" s="7">
        <f>SUM(C5:C14)</f>
        <v/>
      </c>
    </row>
    <row r="18">
      <c r="A18" s="6" t="inlineStr">
        <is>
          <t>Net Variance</t>
        </is>
      </c>
      <c r="B18" s="7">
        <f>SUM(D5:D14)</f>
        <v/>
      </c>
    </row>
  </sheetData>
  <autoFilter ref="A4:E14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Department Monthly Spend</t>
        </is>
      </c>
    </row>
    <row r="2">
      <c r="A2" s="2" t="inlineStr">
        <is>
          <t>Monthly actual spend distribution by department</t>
        </is>
      </c>
    </row>
    <row r="3"/>
    <row r="4">
      <c r="A4" s="3" t="inlineStr">
        <is>
          <t>Department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Apr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Aug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Dec</t>
        </is>
      </c>
      <c r="N4" s="3" t="inlineStr">
        <is>
          <t>Annual Total</t>
        </is>
      </c>
    </row>
    <row r="5">
      <c r="A5" s="4" t="inlineStr">
        <is>
          <t>Finance</t>
        </is>
      </c>
      <c r="B5" s="5" t="n">
        <v>34140</v>
      </c>
      <c r="C5" s="5" t="n">
        <v>35050.4</v>
      </c>
      <c r="D5" s="5" t="n">
        <v>35960.8</v>
      </c>
      <c r="E5" s="5" t="n">
        <v>37326.4</v>
      </c>
      <c r="F5" s="5" t="n">
        <v>36871.2</v>
      </c>
      <c r="G5" s="5" t="n">
        <v>38236.8</v>
      </c>
      <c r="H5" s="5" t="n">
        <v>37781.6</v>
      </c>
      <c r="I5" s="5" t="n">
        <v>39147.2</v>
      </c>
      <c r="J5" s="5" t="n">
        <v>38236.8</v>
      </c>
      <c r="K5" s="5" t="n">
        <v>39602.4</v>
      </c>
      <c r="L5" s="5" t="n">
        <v>41423.2</v>
      </c>
      <c r="M5" s="5" t="n">
        <v>41423.2</v>
      </c>
      <c r="N5" s="4">
        <f>SUM(B5:M5)</f>
        <v/>
      </c>
    </row>
    <row r="6">
      <c r="A6" s="4" t="inlineStr">
        <is>
          <t>Operations</t>
        </is>
      </c>
      <c r="B6" s="5" t="n">
        <v>89850</v>
      </c>
      <c r="C6" s="5" t="n">
        <v>92246</v>
      </c>
      <c r="D6" s="5" t="n">
        <v>94642</v>
      </c>
      <c r="E6" s="5" t="n">
        <v>98236</v>
      </c>
      <c r="F6" s="5" t="n">
        <v>97038</v>
      </c>
      <c r="G6" s="5" t="n">
        <v>100632</v>
      </c>
      <c r="H6" s="5" t="n">
        <v>99434</v>
      </c>
      <c r="I6" s="5" t="n">
        <v>103028</v>
      </c>
      <c r="J6" s="5" t="n">
        <v>100632</v>
      </c>
      <c r="K6" s="5" t="n">
        <v>104226</v>
      </c>
      <c r="L6" s="5" t="n">
        <v>109018</v>
      </c>
      <c r="M6" s="5" t="n">
        <v>109018</v>
      </c>
      <c r="N6" s="4">
        <f>SUM(B6:M6)</f>
        <v/>
      </c>
    </row>
    <row r="7">
      <c r="A7" s="4" t="inlineStr">
        <is>
          <t>Sales</t>
        </is>
      </c>
      <c r="B7" s="5" t="n">
        <v>73012.5</v>
      </c>
      <c r="C7" s="5" t="n">
        <v>74959.5</v>
      </c>
      <c r="D7" s="5" t="n">
        <v>76906.5</v>
      </c>
      <c r="E7" s="5" t="n">
        <v>79827</v>
      </c>
      <c r="F7" s="5" t="n">
        <v>78853.5</v>
      </c>
      <c r="G7" s="5" t="n">
        <v>81774</v>
      </c>
      <c r="H7" s="5" t="n">
        <v>80800.5</v>
      </c>
      <c r="I7" s="5" t="n">
        <v>83721</v>
      </c>
      <c r="J7" s="5" t="n">
        <v>81774</v>
      </c>
      <c r="K7" s="5" t="n">
        <v>84694.5</v>
      </c>
      <c r="L7" s="5" t="n">
        <v>88588.5</v>
      </c>
      <c r="M7" s="5" t="n">
        <v>88588.5</v>
      </c>
      <c r="N7" s="4">
        <f>SUM(B7:M7)</f>
        <v/>
      </c>
    </row>
    <row r="8">
      <c r="A8" s="4" t="inlineStr">
        <is>
          <t>Marketing</t>
        </is>
      </c>
      <c r="B8" s="5" t="n">
        <v>58597.5</v>
      </c>
      <c r="C8" s="5" t="n">
        <v>60160.1</v>
      </c>
      <c r="D8" s="5" t="n">
        <v>61722.7</v>
      </c>
      <c r="E8" s="5" t="n">
        <v>64066.6</v>
      </c>
      <c r="F8" s="5" t="n">
        <v>63285.3</v>
      </c>
      <c r="G8" s="5" t="n">
        <v>65629.2</v>
      </c>
      <c r="H8" s="5" t="n">
        <v>64847.9</v>
      </c>
      <c r="I8" s="5" t="n">
        <v>67191.8</v>
      </c>
      <c r="J8" s="5" t="n">
        <v>65629.2</v>
      </c>
      <c r="K8" s="5" t="n">
        <v>67973.10000000001</v>
      </c>
      <c r="L8" s="5" t="n">
        <v>71098.3</v>
      </c>
      <c r="M8" s="5" t="n">
        <v>71098.3</v>
      </c>
      <c r="N8" s="4">
        <f>SUM(B8:M8)</f>
        <v/>
      </c>
    </row>
    <row r="9">
      <c r="A9" s="4" t="inlineStr">
        <is>
          <t>Information Technology</t>
        </is>
      </c>
      <c r="B9" s="5" t="n">
        <v>64080</v>
      </c>
      <c r="C9" s="5" t="n">
        <v>65788.8</v>
      </c>
      <c r="D9" s="5" t="n">
        <v>67497.60000000001</v>
      </c>
      <c r="E9" s="5" t="n">
        <v>70060.8</v>
      </c>
      <c r="F9" s="5" t="n">
        <v>69206.39999999999</v>
      </c>
      <c r="G9" s="5" t="n">
        <v>71769.60000000001</v>
      </c>
      <c r="H9" s="5" t="n">
        <v>70915.2</v>
      </c>
      <c r="I9" s="5" t="n">
        <v>73478.39999999999</v>
      </c>
      <c r="J9" s="5" t="n">
        <v>71769.60000000001</v>
      </c>
      <c r="K9" s="5" t="n">
        <v>74332.8</v>
      </c>
      <c r="L9" s="5" t="n">
        <v>77750.39999999999</v>
      </c>
      <c r="M9" s="5" t="n">
        <v>77750.39999999999</v>
      </c>
      <c r="N9" s="4">
        <f>SUM(B9:M9)</f>
        <v/>
      </c>
    </row>
    <row r="10">
      <c r="A10" s="4" t="inlineStr">
        <is>
          <t>Human Resources</t>
        </is>
      </c>
      <c r="B10" s="5" t="n">
        <v>25395</v>
      </c>
      <c r="C10" s="5" t="n">
        <v>26072.2</v>
      </c>
      <c r="D10" s="5" t="n">
        <v>26749.4</v>
      </c>
      <c r="E10" s="5" t="n">
        <v>27765.2</v>
      </c>
      <c r="F10" s="5" t="n">
        <v>27426.6</v>
      </c>
      <c r="G10" s="5" t="n">
        <v>28442.4</v>
      </c>
      <c r="H10" s="5" t="n">
        <v>28103.8</v>
      </c>
      <c r="I10" s="5" t="n">
        <v>29119.6</v>
      </c>
      <c r="J10" s="5" t="n">
        <v>28442.4</v>
      </c>
      <c r="K10" s="5" t="n">
        <v>29458.2</v>
      </c>
      <c r="L10" s="5" t="n">
        <v>30812.6</v>
      </c>
      <c r="M10" s="5" t="n">
        <v>30812.6</v>
      </c>
      <c r="N10" s="4">
        <f>SUM(B10:M10)</f>
        <v/>
      </c>
    </row>
    <row r="11">
      <c r="A11" s="4" t="inlineStr">
        <is>
          <t>Procurement</t>
        </is>
      </c>
      <c r="B11" s="5" t="n">
        <v>30735</v>
      </c>
      <c r="C11" s="5" t="n">
        <v>31554.6</v>
      </c>
      <c r="D11" s="5" t="n">
        <v>32374.2</v>
      </c>
      <c r="E11" s="5" t="n">
        <v>33603.6</v>
      </c>
      <c r="F11" s="5" t="n">
        <v>33193.8</v>
      </c>
      <c r="G11" s="5" t="n">
        <v>34423.2</v>
      </c>
      <c r="H11" s="5" t="n">
        <v>34013.4</v>
      </c>
      <c r="I11" s="5" t="n">
        <v>35242.8</v>
      </c>
      <c r="J11" s="5" t="n">
        <v>34423.2</v>
      </c>
      <c r="K11" s="5" t="n">
        <v>35652.6</v>
      </c>
      <c r="L11" s="5" t="n">
        <v>37291.8</v>
      </c>
      <c r="M11" s="5" t="n">
        <v>37291.8</v>
      </c>
      <c r="N11" s="4">
        <f>SUM(B11:M11)</f>
        <v/>
      </c>
    </row>
    <row r="12">
      <c r="A12" s="4" t="inlineStr">
        <is>
          <t>Logistics</t>
        </is>
      </c>
      <c r="B12" s="5" t="n">
        <v>52590</v>
      </c>
      <c r="C12" s="5" t="n">
        <v>53992.4</v>
      </c>
      <c r="D12" s="5" t="n">
        <v>55394.8</v>
      </c>
      <c r="E12" s="5" t="n">
        <v>57498.4</v>
      </c>
      <c r="F12" s="5" t="n">
        <v>56797.2</v>
      </c>
      <c r="G12" s="5" t="n">
        <v>58900.8</v>
      </c>
      <c r="H12" s="5" t="n">
        <v>58199.6</v>
      </c>
      <c r="I12" s="5" t="n">
        <v>60303.2</v>
      </c>
      <c r="J12" s="5" t="n">
        <v>58900.8</v>
      </c>
      <c r="K12" s="5" t="n">
        <v>61004.4</v>
      </c>
      <c r="L12" s="5" t="n">
        <v>63809.2</v>
      </c>
      <c r="M12" s="5" t="n">
        <v>63809.2</v>
      </c>
      <c r="N12" s="4">
        <f>SUM(B12:M12)</f>
        <v/>
      </c>
    </row>
    <row r="13">
      <c r="A13" s="4" t="inlineStr">
        <is>
          <t>Legal &amp; Compliance</t>
        </is>
      </c>
      <c r="B13" s="5" t="n">
        <v>22462.5</v>
      </c>
      <c r="C13" s="5" t="n">
        <v>23061.5</v>
      </c>
      <c r="D13" s="5" t="n">
        <v>23660.5</v>
      </c>
      <c r="E13" s="5" t="n">
        <v>24559</v>
      </c>
      <c r="F13" s="5" t="n">
        <v>24259.5</v>
      </c>
      <c r="G13" s="5" t="n">
        <v>25158</v>
      </c>
      <c r="H13" s="5" t="n">
        <v>24858.5</v>
      </c>
      <c r="I13" s="5" t="n">
        <v>25757</v>
      </c>
      <c r="J13" s="5" t="n">
        <v>25158</v>
      </c>
      <c r="K13" s="5" t="n">
        <v>26056.5</v>
      </c>
      <c r="L13" s="5" t="n">
        <v>27254.5</v>
      </c>
      <c r="M13" s="5" t="n">
        <v>27254.5</v>
      </c>
      <c r="N13" s="4">
        <f>SUM(B13:M13)</f>
        <v/>
      </c>
    </row>
    <row r="14">
      <c r="A14" s="4" t="inlineStr">
        <is>
          <t>Facilities</t>
        </is>
      </c>
      <c r="B14" s="5" t="n">
        <v>40230</v>
      </c>
      <c r="C14" s="5" t="n">
        <v>41302.8</v>
      </c>
      <c r="D14" s="5" t="n">
        <v>42375.6</v>
      </c>
      <c r="E14" s="5" t="n">
        <v>43984.8</v>
      </c>
      <c r="F14" s="5" t="n">
        <v>43448.4</v>
      </c>
      <c r="G14" s="5" t="n">
        <v>45057.6</v>
      </c>
      <c r="H14" s="5" t="n">
        <v>44521.2</v>
      </c>
      <c r="I14" s="5" t="n">
        <v>46130.4</v>
      </c>
      <c r="J14" s="5" t="n">
        <v>45057.6</v>
      </c>
      <c r="K14" s="5" t="n">
        <v>46666.8</v>
      </c>
      <c r="L14" s="5" t="n">
        <v>48812.4</v>
      </c>
      <c r="M14" s="5" t="n">
        <v>48812.4</v>
      </c>
      <c r="N14" s="4">
        <f>SUM(B14:M14)</f>
        <v/>
      </c>
    </row>
  </sheetData>
  <autoFilter ref="A4:N14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2" customWidth="1" min="3" max="3"/>
    <col width="16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 Spend Register</t>
        </is>
      </c>
    </row>
    <row r="2">
      <c r="A2" s="2" t="inlineStr">
        <is>
          <t>Top supplier commitments and balances</t>
        </is>
      </c>
    </row>
    <row r="3"/>
    <row r="4">
      <c r="A4" s="3" t="inlineStr">
        <is>
          <t>Vendor</t>
        </is>
      </c>
      <c r="B4" s="3" t="inlineStr">
        <is>
          <t>Category</t>
        </is>
      </c>
      <c r="C4" s="3" t="inlineStr">
        <is>
          <t>Region</t>
        </is>
      </c>
      <c r="D4" s="3" t="inlineStr">
        <is>
          <t>Contract Value</t>
        </is>
      </c>
      <c r="E4" s="3" t="inlineStr">
        <is>
          <t>Paid To Date</t>
        </is>
      </c>
      <c r="F4" s="3" t="inlineStr">
        <is>
          <t>Open Balance</t>
        </is>
      </c>
      <c r="G4" s="3" t="inlineStr">
        <is>
          <t>Status</t>
        </is>
      </c>
    </row>
    <row r="5">
      <c r="A5" s="4" t="inlineStr">
        <is>
          <t>Global Office Solutions</t>
        </is>
      </c>
      <c r="B5" s="4" t="inlineStr">
        <is>
          <t>Office Supplies</t>
        </is>
      </c>
      <c r="C5" s="4" t="inlineStr">
        <is>
          <t>MEA</t>
        </is>
      </c>
      <c r="D5" s="5" t="n">
        <v>185000</v>
      </c>
      <c r="E5" s="5" t="n">
        <v>162400</v>
      </c>
      <c r="F5" s="4">
        <f>D5-E5</f>
        <v/>
      </c>
      <c r="G5" s="4" t="inlineStr">
        <is>
          <t>Active</t>
        </is>
      </c>
    </row>
    <row r="6">
      <c r="A6" s="4" t="inlineStr">
        <is>
          <t>Nexa Cloud Systems</t>
        </is>
      </c>
      <c r="B6" s="4" t="inlineStr">
        <is>
          <t>IT Services</t>
        </is>
      </c>
      <c r="C6" s="4" t="inlineStr">
        <is>
          <t>EMEA</t>
        </is>
      </c>
      <c r="D6" s="5" t="n">
        <v>240000</v>
      </c>
      <c r="E6" s="5" t="n">
        <v>210000</v>
      </c>
      <c r="F6" s="4">
        <f>D6-E6</f>
        <v/>
      </c>
      <c r="G6" s="4" t="inlineStr">
        <is>
          <t>Active</t>
        </is>
      </c>
    </row>
    <row r="7">
      <c r="A7" s="4" t="inlineStr">
        <is>
          <t>Prime Media Agency</t>
        </is>
      </c>
      <c r="B7" s="4" t="inlineStr">
        <is>
          <t>Marketing</t>
        </is>
      </c>
      <c r="C7" s="4" t="inlineStr">
        <is>
          <t>GCC</t>
        </is>
      </c>
      <c r="D7" s="5" t="n">
        <v>310000</v>
      </c>
      <c r="E7" s="5" t="n">
        <v>256700</v>
      </c>
      <c r="F7" s="4">
        <f>D7-E7</f>
        <v/>
      </c>
      <c r="G7" s="4" t="inlineStr">
        <is>
          <t>Active</t>
        </is>
      </c>
    </row>
    <row r="8">
      <c r="A8" s="4" t="inlineStr">
        <is>
          <t>SecureAudit Partners</t>
        </is>
      </c>
      <c r="B8" s="4" t="inlineStr">
        <is>
          <t>Compliance</t>
        </is>
      </c>
      <c r="C8" s="4" t="inlineStr">
        <is>
          <t>Levant</t>
        </is>
      </c>
      <c r="D8" s="5" t="n">
        <v>128000</v>
      </c>
      <c r="E8" s="5" t="n">
        <v>128000</v>
      </c>
      <c r="F8" s="4">
        <f>D8-E8</f>
        <v/>
      </c>
      <c r="G8" s="4" t="inlineStr">
        <is>
          <t>Closed</t>
        </is>
      </c>
    </row>
    <row r="9">
      <c r="A9" s="4" t="inlineStr">
        <is>
          <t>Urban Facilities Co.</t>
        </is>
      </c>
      <c r="B9" s="4" t="inlineStr">
        <is>
          <t>Maintenance</t>
        </is>
      </c>
      <c r="C9" s="4" t="inlineStr">
        <is>
          <t>MEA</t>
        </is>
      </c>
      <c r="D9" s="5" t="n">
        <v>198500</v>
      </c>
      <c r="E9" s="5" t="n">
        <v>171300</v>
      </c>
      <c r="F9" s="4">
        <f>D9-E9</f>
        <v/>
      </c>
      <c r="G9" s="4" t="inlineStr">
        <is>
          <t>Active</t>
        </is>
      </c>
    </row>
    <row r="10">
      <c r="A10" s="4" t="inlineStr">
        <is>
          <t>TransLogix Freight</t>
        </is>
      </c>
      <c r="B10" s="4" t="inlineStr">
        <is>
          <t>Logistics</t>
        </is>
      </c>
      <c r="C10" s="4" t="inlineStr">
        <is>
          <t>Europe</t>
        </is>
      </c>
      <c r="D10" s="5" t="n">
        <v>420000</v>
      </c>
      <c r="E10" s="5" t="n">
        <v>366200</v>
      </c>
      <c r="F10" s="4">
        <f>D10-E10</f>
        <v/>
      </c>
      <c r="G10" s="4" t="inlineStr">
        <is>
          <t>Active</t>
        </is>
      </c>
    </row>
    <row r="11">
      <c r="A11" s="4" t="inlineStr">
        <is>
          <t>Cedar Legal Advisors</t>
        </is>
      </c>
      <c r="B11" s="4" t="inlineStr">
        <is>
          <t>Legal</t>
        </is>
      </c>
      <c r="C11" s="4" t="inlineStr">
        <is>
          <t>Levant</t>
        </is>
      </c>
      <c r="D11" s="5" t="n">
        <v>116000</v>
      </c>
      <c r="E11" s="5" t="n">
        <v>98400</v>
      </c>
      <c r="F11" s="4">
        <f>D11-E11</f>
        <v/>
      </c>
      <c r="G11" s="4" t="inlineStr">
        <is>
          <t>Active</t>
        </is>
      </c>
    </row>
    <row r="12">
      <c r="A12" s="4" t="inlineStr">
        <is>
          <t>Horizon Recruitment</t>
        </is>
      </c>
      <c r="B12" s="4" t="inlineStr">
        <is>
          <t>HR</t>
        </is>
      </c>
      <c r="C12" s="4" t="inlineStr">
        <is>
          <t>GCC</t>
        </is>
      </c>
      <c r="D12" s="5" t="n">
        <v>93000</v>
      </c>
      <c r="E12" s="5" t="n">
        <v>74000</v>
      </c>
      <c r="F12" s="4">
        <f>D12-E12</f>
        <v/>
      </c>
      <c r="G12" s="4" t="inlineStr">
        <is>
          <t>Active</t>
        </is>
      </c>
    </row>
    <row r="13">
      <c r="A13" s="4" t="inlineStr">
        <is>
          <t>Vertex Training Hub</t>
        </is>
      </c>
      <c r="B13" s="4" t="inlineStr">
        <is>
          <t>Learning</t>
        </is>
      </c>
      <c r="C13" s="4" t="inlineStr">
        <is>
          <t>EMEA</t>
        </is>
      </c>
      <c r="D13" s="5" t="n">
        <v>86000</v>
      </c>
      <c r="E13" s="5" t="n">
        <v>65500</v>
      </c>
      <c r="F13" s="4">
        <f>D13-E13</f>
        <v/>
      </c>
      <c r="G13" s="4" t="inlineStr">
        <is>
          <t>Planned</t>
        </is>
      </c>
    </row>
    <row r="14">
      <c r="A14" s="4" t="inlineStr">
        <is>
          <t>Atlas Insurance</t>
        </is>
      </c>
      <c r="B14" s="4" t="inlineStr">
        <is>
          <t>Insurance</t>
        </is>
      </c>
      <c r="C14" s="4" t="inlineStr">
        <is>
          <t>MEA</t>
        </is>
      </c>
      <c r="D14" s="5" t="n">
        <v>154000</v>
      </c>
      <c r="E14" s="5" t="n">
        <v>154000</v>
      </c>
      <c r="F14" s="4">
        <f>D14-E14</f>
        <v/>
      </c>
      <c r="G14" s="4" t="inlineStr">
        <is>
          <t>Closed</t>
        </is>
      </c>
    </row>
    <row r="15">
      <c r="A15" s="4" t="inlineStr">
        <is>
          <t>BluePeak Energy</t>
        </is>
      </c>
      <c r="B15" s="4" t="inlineStr">
        <is>
          <t>Utilities</t>
        </is>
      </c>
      <c r="C15" s="4" t="inlineStr">
        <is>
          <t>Levant</t>
        </is>
      </c>
      <c r="D15" s="5" t="n">
        <v>176000</v>
      </c>
      <c r="E15" s="5" t="n">
        <v>142000</v>
      </c>
      <c r="F15" s="4">
        <f>D15-E15</f>
        <v/>
      </c>
      <c r="G15" s="4" t="inlineStr">
        <is>
          <t>Active</t>
        </is>
      </c>
    </row>
    <row r="16">
      <c r="A16" s="4" t="inlineStr">
        <is>
          <t>Metro Cleaning Group</t>
        </is>
      </c>
      <c r="B16" s="4" t="inlineStr">
        <is>
          <t>Facilities</t>
        </is>
      </c>
      <c r="C16" s="4" t="inlineStr">
        <is>
          <t>MEA</t>
        </is>
      </c>
      <c r="D16" s="5" t="n">
        <v>68000</v>
      </c>
      <c r="E16" s="5" t="n">
        <v>61200</v>
      </c>
      <c r="F16" s="4">
        <f>D16-E16</f>
        <v/>
      </c>
      <c r="G16" s="4" t="inlineStr">
        <is>
          <t>Active</t>
        </is>
      </c>
    </row>
    <row r="17">
      <c r="A17" s="4" t="inlineStr">
        <is>
          <t>Core ERP Solutions</t>
        </is>
      </c>
      <c r="B17" s="4" t="inlineStr">
        <is>
          <t>Software</t>
        </is>
      </c>
      <c r="C17" s="4" t="inlineStr">
        <is>
          <t>EMEA</t>
        </is>
      </c>
      <c r="D17" s="5" t="n">
        <v>265000</v>
      </c>
      <c r="E17" s="5" t="n">
        <v>201500</v>
      </c>
      <c r="F17" s="4">
        <f>D17-E17</f>
        <v/>
      </c>
      <c r="G17" s="4" t="inlineStr">
        <is>
          <t>Active</t>
        </is>
      </c>
    </row>
    <row r="18">
      <c r="A18" s="4" t="inlineStr">
        <is>
          <t>Summit Consulting</t>
        </is>
      </c>
      <c r="B18" s="4" t="inlineStr">
        <is>
          <t>Strategy</t>
        </is>
      </c>
      <c r="C18" s="4" t="inlineStr">
        <is>
          <t>Europe</t>
        </is>
      </c>
      <c r="D18" s="5" t="n">
        <v>144000</v>
      </c>
      <c r="E18" s="5" t="n">
        <v>72000</v>
      </c>
      <c r="F18" s="4">
        <f>D18-E18</f>
        <v/>
      </c>
      <c r="G18" s="4" t="inlineStr">
        <is>
          <t>Planned</t>
        </is>
      </c>
    </row>
    <row r="19">
      <c r="A19" s="4" t="inlineStr">
        <is>
          <t>GreenFleet Leasing</t>
        </is>
      </c>
      <c r="B19" s="4" t="inlineStr">
        <is>
          <t>Transport</t>
        </is>
      </c>
      <c r="C19" s="4" t="inlineStr">
        <is>
          <t>Levant</t>
        </is>
      </c>
      <c r="D19" s="5" t="n">
        <v>132500</v>
      </c>
      <c r="E19" s="5" t="n">
        <v>119300</v>
      </c>
      <c r="F19" s="4">
        <f>D19-E19</f>
        <v/>
      </c>
      <c r="G19" s="4" t="inlineStr">
        <is>
          <t>Active</t>
        </is>
      </c>
    </row>
  </sheetData>
  <autoFilter ref="A4:G19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2026-04-10T09:50:39Z</dcterms:created>
  <dcterms:modified xsi:type="dcterms:W3CDTF">2026-04-10T09:50:39Z</dcterms:modified>
</cp:coreProperties>
</file>