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Master" sheetId="1" state="visible" r:id="rId1"/>
    <sheet name="Department Summary" sheetId="2" state="visible" r:id="rId2"/>
  </sheets>
  <definedNames>
    <definedName name="_xlnm._FilterDatabase" localSheetId="0" hidden="1">'Payroll Master'!$A$4:$P$24</definedName>
    <definedName name="_xlnm._FilterDatabase" localSheetId="1" hidden="1">'Department Summary'!$A$4:$D$14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3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7" customWidth="1" min="12" max="12"/>
    <col width="12" customWidth="1" min="13" max="13"/>
    <col width="18" customWidth="1" min="14" max="14"/>
    <col width="22" customWidth="1" min="15" max="15"/>
    <col width="12" customWidth="1" min="16" max="16"/>
  </cols>
  <sheetData>
    <row r="1">
      <c r="A1" s="1" t="inlineStr">
        <is>
          <t>Monthly Payroll Register</t>
        </is>
      </c>
    </row>
    <row r="2">
      <c r="A2" s="2" t="inlineStr">
        <is>
          <t>Detailed payroll file for a multi-department organization</t>
        </is>
      </c>
    </row>
    <row r="3"/>
    <row r="4">
      <c r="A4" s="3" t="inlineStr">
        <is>
          <t>Emp ID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Grade</t>
        </is>
      </c>
      <c r="E4" s="3" t="inlineStr">
        <is>
          <t>Basic Salary</t>
        </is>
      </c>
      <c r="F4" s="3" t="inlineStr">
        <is>
          <t>Housing</t>
        </is>
      </c>
      <c r="G4" s="3" t="inlineStr">
        <is>
          <t>Transport</t>
        </is>
      </c>
      <c r="H4" s="3" t="inlineStr">
        <is>
          <t>Overtime</t>
        </is>
      </c>
      <c r="I4" s="3" t="inlineStr">
        <is>
          <t>Bonus</t>
        </is>
      </c>
      <c r="J4" s="3" t="inlineStr">
        <is>
          <t>Gross Pay</t>
        </is>
      </c>
      <c r="K4" s="3" t="inlineStr">
        <is>
          <t>Tax</t>
        </is>
      </c>
      <c r="L4" s="3" t="inlineStr">
        <is>
          <t>Social Security</t>
        </is>
      </c>
      <c r="M4" s="3" t="inlineStr">
        <is>
          <t>Medical</t>
        </is>
      </c>
      <c r="N4" s="3" t="inlineStr">
        <is>
          <t>Other Deductions</t>
        </is>
      </c>
      <c r="O4" s="3" t="inlineStr">
        <is>
          <t>Net Pay</t>
        </is>
      </c>
      <c r="P4" s="3" t="inlineStr">
        <is>
          <t>Bank</t>
        </is>
      </c>
    </row>
    <row r="5">
      <c r="A5" s="4" t="inlineStr">
        <is>
          <t>EMP-201</t>
        </is>
      </c>
      <c r="B5" s="4" t="inlineStr">
        <is>
          <t>Mona Khalil</t>
        </is>
      </c>
      <c r="C5" s="4" t="inlineStr">
        <is>
          <t>Finance</t>
        </is>
      </c>
      <c r="D5" s="4" t="inlineStr">
        <is>
          <t>G6</t>
        </is>
      </c>
      <c r="E5" s="5" t="n">
        <v>4200</v>
      </c>
      <c r="F5" s="5" t="n">
        <v>700</v>
      </c>
      <c r="G5" s="5" t="n">
        <v>280</v>
      </c>
      <c r="H5" s="5" t="n">
        <v>90</v>
      </c>
      <c r="I5" s="5" t="n">
        <v>250</v>
      </c>
      <c r="J5" s="4">
        <f>SUM(E5:I5)</f>
        <v/>
      </c>
      <c r="K5" s="4">
        <f>J5*0.09</f>
        <v/>
      </c>
      <c r="L5" s="4">
        <f>J5*0.035</f>
        <v/>
      </c>
      <c r="M5" s="4">
        <f>45</f>
        <v/>
      </c>
      <c r="N5" s="4">
        <f>20</f>
        <v/>
      </c>
      <c r="O5" s="4">
        <f>J5-K5-L5-M5-N5</f>
        <v/>
      </c>
      <c r="P5" s="4" t="inlineStr">
        <is>
          <t>Bank Audi</t>
        </is>
      </c>
    </row>
    <row r="6">
      <c r="A6" s="4" t="inlineStr">
        <is>
          <t>EMP-202</t>
        </is>
      </c>
      <c r="B6" s="4" t="inlineStr">
        <is>
          <t>Rami Saad</t>
        </is>
      </c>
      <c r="C6" s="4" t="inlineStr">
        <is>
          <t>Operations</t>
        </is>
      </c>
      <c r="D6" s="4" t="inlineStr">
        <is>
          <t>G7</t>
        </is>
      </c>
      <c r="E6" s="5" t="n">
        <v>4700</v>
      </c>
      <c r="F6" s="5" t="n">
        <v>820</v>
      </c>
      <c r="G6" s="5" t="n">
        <v>310</v>
      </c>
      <c r="H6" s="5" t="n">
        <v>140</v>
      </c>
      <c r="I6" s="5" t="n">
        <v>300</v>
      </c>
      <c r="J6" s="4">
        <f>SUM(E6:I6)</f>
        <v/>
      </c>
      <c r="K6" s="4">
        <f>J6*0.09</f>
        <v/>
      </c>
      <c r="L6" s="4">
        <f>J6*0.035</f>
        <v/>
      </c>
      <c r="M6" s="4">
        <f>45</f>
        <v/>
      </c>
      <c r="N6" s="4">
        <f>20</f>
        <v/>
      </c>
      <c r="O6" s="4">
        <f>J6-K6-L6-M6-N6</f>
        <v/>
      </c>
      <c r="P6" s="4" t="inlineStr">
        <is>
          <t>BLOM</t>
        </is>
      </c>
    </row>
    <row r="7">
      <c r="A7" s="4" t="inlineStr">
        <is>
          <t>EMP-203</t>
        </is>
      </c>
      <c r="B7" s="4" t="inlineStr">
        <is>
          <t>Nour Haddad</t>
        </is>
      </c>
      <c r="C7" s="4" t="inlineStr">
        <is>
          <t>Sales</t>
        </is>
      </c>
      <c r="D7" s="4" t="inlineStr">
        <is>
          <t>G6</t>
        </is>
      </c>
      <c r="E7" s="5" t="n">
        <v>4350</v>
      </c>
      <c r="F7" s="5" t="n">
        <v>760</v>
      </c>
      <c r="G7" s="5" t="n">
        <v>290</v>
      </c>
      <c r="H7" s="5" t="n">
        <v>180</v>
      </c>
      <c r="I7" s="5" t="n">
        <v>450</v>
      </c>
      <c r="J7" s="4">
        <f>SUM(E7:I7)</f>
        <v/>
      </c>
      <c r="K7" s="4">
        <f>J7*0.09</f>
        <v/>
      </c>
      <c r="L7" s="4">
        <f>J7*0.035</f>
        <v/>
      </c>
      <c r="M7" s="4">
        <f>45</f>
        <v/>
      </c>
      <c r="N7" s="4">
        <f>20</f>
        <v/>
      </c>
      <c r="O7" s="4">
        <f>J7-K7-L7-M7-N7</f>
        <v/>
      </c>
      <c r="P7" s="4" t="inlineStr">
        <is>
          <t>Bank Audi</t>
        </is>
      </c>
    </row>
    <row r="8">
      <c r="A8" s="4" t="inlineStr">
        <is>
          <t>EMP-204</t>
        </is>
      </c>
      <c r="B8" s="4" t="inlineStr">
        <is>
          <t>Lina Harb</t>
        </is>
      </c>
      <c r="C8" s="4" t="inlineStr">
        <is>
          <t>Marketing</t>
        </is>
      </c>
      <c r="D8" s="4" t="inlineStr">
        <is>
          <t>G5</t>
        </is>
      </c>
      <c r="E8" s="5" t="n">
        <v>3900</v>
      </c>
      <c r="F8" s="5" t="n">
        <v>680</v>
      </c>
      <c r="G8" s="5" t="n">
        <v>260</v>
      </c>
      <c r="H8" s="5" t="n">
        <v>110</v>
      </c>
      <c r="I8" s="5" t="n">
        <v>220</v>
      </c>
      <c r="J8" s="4">
        <f>SUM(E8:I8)</f>
        <v/>
      </c>
      <c r="K8" s="4">
        <f>J8*0.09</f>
        <v/>
      </c>
      <c r="L8" s="4">
        <f>J8*0.035</f>
        <v/>
      </c>
      <c r="M8" s="4">
        <f>45</f>
        <v/>
      </c>
      <c r="N8" s="4">
        <f>20</f>
        <v/>
      </c>
      <c r="O8" s="4">
        <f>J8-K8-L8-M8-N8</f>
        <v/>
      </c>
      <c r="P8" s="4" t="inlineStr">
        <is>
          <t>Byblos</t>
        </is>
      </c>
    </row>
    <row r="9">
      <c r="A9" s="4" t="inlineStr">
        <is>
          <t>EMP-205</t>
        </is>
      </c>
      <c r="B9" s="4" t="inlineStr">
        <is>
          <t>Omar Zein</t>
        </is>
      </c>
      <c r="C9" s="4" t="inlineStr">
        <is>
          <t>IT</t>
        </is>
      </c>
      <c r="D9" s="4" t="inlineStr">
        <is>
          <t>G7</t>
        </is>
      </c>
      <c r="E9" s="5" t="n">
        <v>5100</v>
      </c>
      <c r="F9" s="5" t="n">
        <v>900</v>
      </c>
      <c r="G9" s="5" t="n">
        <v>320</v>
      </c>
      <c r="H9" s="5" t="n">
        <v>120</v>
      </c>
      <c r="I9" s="5" t="n">
        <v>380</v>
      </c>
      <c r="J9" s="4">
        <f>SUM(E9:I9)</f>
        <v/>
      </c>
      <c r="K9" s="4">
        <f>J9*0.09</f>
        <v/>
      </c>
      <c r="L9" s="4">
        <f>J9*0.035</f>
        <v/>
      </c>
      <c r="M9" s="4">
        <f>45</f>
        <v/>
      </c>
      <c r="N9" s="4">
        <f>20</f>
        <v/>
      </c>
      <c r="O9" s="4">
        <f>J9-K9-L9-M9-N9</f>
        <v/>
      </c>
      <c r="P9" s="4" t="inlineStr">
        <is>
          <t>BLOM</t>
        </is>
      </c>
    </row>
    <row r="10">
      <c r="A10" s="4" t="inlineStr">
        <is>
          <t>EMP-206</t>
        </is>
      </c>
      <c r="B10" s="4" t="inlineStr">
        <is>
          <t>Dana Fares</t>
        </is>
      </c>
      <c r="C10" s="4" t="inlineStr">
        <is>
          <t>HR</t>
        </is>
      </c>
      <c r="D10" s="4" t="inlineStr">
        <is>
          <t>G5</t>
        </is>
      </c>
      <c r="E10" s="5" t="n">
        <v>3850</v>
      </c>
      <c r="F10" s="5" t="n">
        <v>650</v>
      </c>
      <c r="G10" s="5" t="n">
        <v>250</v>
      </c>
      <c r="H10" s="5" t="n">
        <v>75</v>
      </c>
      <c r="I10" s="5" t="n">
        <v>180</v>
      </c>
      <c r="J10" s="4">
        <f>SUM(E10:I10)</f>
        <v/>
      </c>
      <c r="K10" s="4">
        <f>J10*0.09</f>
        <v/>
      </c>
      <c r="L10" s="4">
        <f>J10*0.035</f>
        <v/>
      </c>
      <c r="M10" s="4">
        <f>45</f>
        <v/>
      </c>
      <c r="N10" s="4">
        <f>20</f>
        <v/>
      </c>
      <c r="O10" s="4">
        <f>J10-K10-L10-M10-N10</f>
        <v/>
      </c>
      <c r="P10" s="4" t="inlineStr">
        <is>
          <t>BankMed</t>
        </is>
      </c>
    </row>
    <row r="11">
      <c r="A11" s="4" t="inlineStr">
        <is>
          <t>EMP-207</t>
        </is>
      </c>
      <c r="B11" s="4" t="inlineStr">
        <is>
          <t>Fadi Nasser</t>
        </is>
      </c>
      <c r="C11" s="4" t="inlineStr">
        <is>
          <t>Procurement</t>
        </is>
      </c>
      <c r="D11" s="4" t="inlineStr">
        <is>
          <t>G6</t>
        </is>
      </c>
      <c r="E11" s="5" t="n">
        <v>4100</v>
      </c>
      <c r="F11" s="5" t="n">
        <v>720</v>
      </c>
      <c r="G11" s="5" t="n">
        <v>280</v>
      </c>
      <c r="H11" s="5" t="n">
        <v>95</v>
      </c>
      <c r="I11" s="5" t="n">
        <v>200</v>
      </c>
      <c r="J11" s="4">
        <f>SUM(E11:I11)</f>
        <v/>
      </c>
      <c r="K11" s="4">
        <f>J11*0.09</f>
        <v/>
      </c>
      <c r="L11" s="4">
        <f>J11*0.035</f>
        <v/>
      </c>
      <c r="M11" s="4">
        <f>45</f>
        <v/>
      </c>
      <c r="N11" s="4">
        <f>20</f>
        <v/>
      </c>
      <c r="O11" s="4">
        <f>J11-K11-L11-M11-N11</f>
        <v/>
      </c>
      <c r="P11" s="4" t="inlineStr">
        <is>
          <t>Byblos</t>
        </is>
      </c>
    </row>
    <row r="12">
      <c r="A12" s="4" t="inlineStr">
        <is>
          <t>EMP-208</t>
        </is>
      </c>
      <c r="B12" s="4" t="inlineStr">
        <is>
          <t>Maya Tannous</t>
        </is>
      </c>
      <c r="C12" s="4" t="inlineStr">
        <is>
          <t>Logistics</t>
        </is>
      </c>
      <c r="D12" s="4" t="inlineStr">
        <is>
          <t>G5</t>
        </is>
      </c>
      <c r="E12" s="5" t="n">
        <v>3720</v>
      </c>
      <c r="F12" s="5" t="n">
        <v>640</v>
      </c>
      <c r="G12" s="5" t="n">
        <v>240</v>
      </c>
      <c r="H12" s="5" t="n">
        <v>130</v>
      </c>
      <c r="I12" s="5" t="n">
        <v>160</v>
      </c>
      <c r="J12" s="4">
        <f>SUM(E12:I12)</f>
        <v/>
      </c>
      <c r="K12" s="4">
        <f>J12*0.09</f>
        <v/>
      </c>
      <c r="L12" s="4">
        <f>J12*0.035</f>
        <v/>
      </c>
      <c r="M12" s="4">
        <f>45</f>
        <v/>
      </c>
      <c r="N12" s="4">
        <f>20</f>
        <v/>
      </c>
      <c r="O12" s="4">
        <f>J12-K12-L12-M12-N12</f>
        <v/>
      </c>
      <c r="P12" s="4" t="inlineStr">
        <is>
          <t>BankMed</t>
        </is>
      </c>
    </row>
    <row r="13">
      <c r="A13" s="4" t="inlineStr">
        <is>
          <t>EMP-209</t>
        </is>
      </c>
      <c r="B13" s="4" t="inlineStr">
        <is>
          <t>Karim Abboud</t>
        </is>
      </c>
      <c r="C13" s="4" t="inlineStr">
        <is>
          <t>Legal</t>
        </is>
      </c>
      <c r="D13" s="4" t="inlineStr">
        <is>
          <t>G7</t>
        </is>
      </c>
      <c r="E13" s="5" t="n">
        <v>5200</v>
      </c>
      <c r="F13" s="5" t="n">
        <v>940</v>
      </c>
      <c r="G13" s="5" t="n">
        <v>330</v>
      </c>
      <c r="H13" s="5" t="n">
        <v>40</v>
      </c>
      <c r="I13" s="5" t="n">
        <v>500</v>
      </c>
      <c r="J13" s="4">
        <f>SUM(E13:I13)</f>
        <v/>
      </c>
      <c r="K13" s="4">
        <f>J13*0.09</f>
        <v/>
      </c>
      <c r="L13" s="4">
        <f>J13*0.035</f>
        <v/>
      </c>
      <c r="M13" s="4">
        <f>45</f>
        <v/>
      </c>
      <c r="N13" s="4">
        <f>20</f>
        <v/>
      </c>
      <c r="O13" s="4">
        <f>J13-K13-L13-M13-N13</f>
        <v/>
      </c>
      <c r="P13" s="4" t="inlineStr">
        <is>
          <t>Bank Audi</t>
        </is>
      </c>
    </row>
    <row r="14">
      <c r="A14" s="4" t="inlineStr">
        <is>
          <t>EMP-210</t>
        </is>
      </c>
      <c r="B14" s="4" t="inlineStr">
        <is>
          <t>Rita Ghosn</t>
        </is>
      </c>
      <c r="C14" s="4" t="inlineStr">
        <is>
          <t>Facilities</t>
        </is>
      </c>
      <c r="D14" s="4" t="inlineStr">
        <is>
          <t>G4</t>
        </is>
      </c>
      <c r="E14" s="5" t="n">
        <v>3400</v>
      </c>
      <c r="F14" s="5" t="n">
        <v>580</v>
      </c>
      <c r="G14" s="5" t="n">
        <v>220</v>
      </c>
      <c r="H14" s="5" t="n">
        <v>85</v>
      </c>
      <c r="I14" s="5" t="n">
        <v>120</v>
      </c>
      <c r="J14" s="4">
        <f>SUM(E14:I14)</f>
        <v/>
      </c>
      <c r="K14" s="4">
        <f>J14*0.09</f>
        <v/>
      </c>
      <c r="L14" s="4">
        <f>J14*0.035</f>
        <v/>
      </c>
      <c r="M14" s="4">
        <f>45</f>
        <v/>
      </c>
      <c r="N14" s="4">
        <f>20</f>
        <v/>
      </c>
      <c r="O14" s="4">
        <f>J14-K14-L14-M14-N14</f>
        <v/>
      </c>
      <c r="P14" s="4" t="inlineStr">
        <is>
          <t>BLC</t>
        </is>
      </c>
    </row>
    <row r="15">
      <c r="A15" s="4" t="inlineStr">
        <is>
          <t>EMP-211</t>
        </is>
      </c>
      <c r="B15" s="4" t="inlineStr">
        <is>
          <t>Ziad Moussa</t>
        </is>
      </c>
      <c r="C15" s="4" t="inlineStr">
        <is>
          <t>Operations</t>
        </is>
      </c>
      <c r="D15" s="4" t="inlineStr">
        <is>
          <t>G6</t>
        </is>
      </c>
      <c r="E15" s="5" t="n">
        <v>4450</v>
      </c>
      <c r="F15" s="5" t="n">
        <v>770</v>
      </c>
      <c r="G15" s="5" t="n">
        <v>290</v>
      </c>
      <c r="H15" s="5" t="n">
        <v>150</v>
      </c>
      <c r="I15" s="5" t="n">
        <v>260</v>
      </c>
      <c r="J15" s="4">
        <f>SUM(E15:I15)</f>
        <v/>
      </c>
      <c r="K15" s="4">
        <f>J15*0.09</f>
        <v/>
      </c>
      <c r="L15" s="4">
        <f>J15*0.035</f>
        <v/>
      </c>
      <c r="M15" s="4">
        <f>45</f>
        <v/>
      </c>
      <c r="N15" s="4">
        <f>20</f>
        <v/>
      </c>
      <c r="O15" s="4">
        <f>J15-K15-L15-M15-N15</f>
        <v/>
      </c>
      <c r="P15" s="4" t="inlineStr">
        <is>
          <t>BLC</t>
        </is>
      </c>
    </row>
    <row r="16">
      <c r="A16" s="4" t="inlineStr">
        <is>
          <t>EMP-212</t>
        </is>
      </c>
      <c r="B16" s="4" t="inlineStr">
        <is>
          <t>Hiba Daher</t>
        </is>
      </c>
      <c r="C16" s="4" t="inlineStr">
        <is>
          <t>Sales</t>
        </is>
      </c>
      <c r="D16" s="4" t="inlineStr">
        <is>
          <t>G5</t>
        </is>
      </c>
      <c r="E16" s="5" t="n">
        <v>3980</v>
      </c>
      <c r="F16" s="5" t="n">
        <v>690</v>
      </c>
      <c r="G16" s="5" t="n">
        <v>255</v>
      </c>
      <c r="H16" s="5" t="n">
        <v>170</v>
      </c>
      <c r="I16" s="5" t="n">
        <v>340</v>
      </c>
      <c r="J16" s="4">
        <f>SUM(E16:I16)</f>
        <v/>
      </c>
      <c r="K16" s="4">
        <f>J16*0.09</f>
        <v/>
      </c>
      <c r="L16" s="4">
        <f>J16*0.035</f>
        <v/>
      </c>
      <c r="M16" s="4">
        <f>45</f>
        <v/>
      </c>
      <c r="N16" s="4">
        <f>20</f>
        <v/>
      </c>
      <c r="O16" s="4">
        <f>J16-K16-L16-M16-N16</f>
        <v/>
      </c>
      <c r="P16" s="4" t="inlineStr">
        <is>
          <t>BLOM</t>
        </is>
      </c>
    </row>
    <row r="17">
      <c r="A17" s="4" t="inlineStr">
        <is>
          <t>EMP-213</t>
        </is>
      </c>
      <c r="B17" s="4" t="inlineStr">
        <is>
          <t>Tarek Karam</t>
        </is>
      </c>
      <c r="C17" s="4" t="inlineStr">
        <is>
          <t>IT</t>
        </is>
      </c>
      <c r="D17" s="4" t="inlineStr">
        <is>
          <t>G6</t>
        </is>
      </c>
      <c r="E17" s="5" t="n">
        <v>4680</v>
      </c>
      <c r="F17" s="5" t="n">
        <v>810</v>
      </c>
      <c r="G17" s="5" t="n">
        <v>300</v>
      </c>
      <c r="H17" s="5" t="n">
        <v>135</v>
      </c>
      <c r="I17" s="5" t="n">
        <v>320</v>
      </c>
      <c r="J17" s="4">
        <f>SUM(E17:I17)</f>
        <v/>
      </c>
      <c r="K17" s="4">
        <f>J17*0.09</f>
        <v/>
      </c>
      <c r="L17" s="4">
        <f>J17*0.035</f>
        <v/>
      </c>
      <c r="M17" s="4">
        <f>45</f>
        <v/>
      </c>
      <c r="N17" s="4">
        <f>20</f>
        <v/>
      </c>
      <c r="O17" s="4">
        <f>J17-K17-L17-M17-N17</f>
        <v/>
      </c>
      <c r="P17" s="4" t="inlineStr">
        <is>
          <t>BankMed</t>
        </is>
      </c>
    </row>
    <row r="18">
      <c r="A18" s="4" t="inlineStr">
        <is>
          <t>EMP-214</t>
        </is>
      </c>
      <c r="B18" s="4" t="inlineStr">
        <is>
          <t>Samar Younes</t>
        </is>
      </c>
      <c r="C18" s="4" t="inlineStr">
        <is>
          <t>Finance</t>
        </is>
      </c>
      <c r="D18" s="4" t="inlineStr">
        <is>
          <t>G5</t>
        </is>
      </c>
      <c r="E18" s="5" t="n">
        <v>4010</v>
      </c>
      <c r="F18" s="5" t="n">
        <v>700</v>
      </c>
      <c r="G18" s="5" t="n">
        <v>260</v>
      </c>
      <c r="H18" s="5" t="n">
        <v>80</v>
      </c>
      <c r="I18" s="5" t="n">
        <v>210</v>
      </c>
      <c r="J18" s="4">
        <f>SUM(E18:I18)</f>
        <v/>
      </c>
      <c r="K18" s="4">
        <f>J18*0.09</f>
        <v/>
      </c>
      <c r="L18" s="4">
        <f>J18*0.035</f>
        <v/>
      </c>
      <c r="M18" s="4">
        <f>45</f>
        <v/>
      </c>
      <c r="N18" s="4">
        <f>20</f>
        <v/>
      </c>
      <c r="O18" s="4">
        <f>J18-K18-L18-M18-N18</f>
        <v/>
      </c>
      <c r="P18" s="4" t="inlineStr">
        <is>
          <t>Byblos</t>
        </is>
      </c>
    </row>
    <row r="19">
      <c r="A19" s="4" t="inlineStr">
        <is>
          <t>EMP-215</t>
        </is>
      </c>
      <c r="B19" s="4" t="inlineStr">
        <is>
          <t>Walid Chami</t>
        </is>
      </c>
      <c r="C19" s="4" t="inlineStr">
        <is>
          <t>Logistics</t>
        </is>
      </c>
      <c r="D19" s="4" t="inlineStr">
        <is>
          <t>G4</t>
        </is>
      </c>
      <c r="E19" s="5" t="n">
        <v>3360</v>
      </c>
      <c r="F19" s="5" t="n">
        <v>560</v>
      </c>
      <c r="G19" s="5" t="n">
        <v>220</v>
      </c>
      <c r="H19" s="5" t="n">
        <v>145</v>
      </c>
      <c r="I19" s="5" t="n">
        <v>90</v>
      </c>
      <c r="J19" s="4">
        <f>SUM(E19:I19)</f>
        <v/>
      </c>
      <c r="K19" s="4">
        <f>J19*0.09</f>
        <v/>
      </c>
      <c r="L19" s="4">
        <f>J19*0.035</f>
        <v/>
      </c>
      <c r="M19" s="4">
        <f>45</f>
        <v/>
      </c>
      <c r="N19" s="4">
        <f>20</f>
        <v/>
      </c>
      <c r="O19" s="4">
        <f>J19-K19-L19-M19-N19</f>
        <v/>
      </c>
      <c r="P19" s="4" t="inlineStr">
        <is>
          <t>BLC</t>
        </is>
      </c>
    </row>
    <row r="20">
      <c r="A20" s="4" t="inlineStr">
        <is>
          <t>EMP-216</t>
        </is>
      </c>
      <c r="B20" s="4" t="inlineStr">
        <is>
          <t>Nancy Matar</t>
        </is>
      </c>
      <c r="C20" s="4" t="inlineStr">
        <is>
          <t>Marketing</t>
        </is>
      </c>
      <c r="D20" s="4" t="inlineStr">
        <is>
          <t>G5</t>
        </is>
      </c>
      <c r="E20" s="5" t="n">
        <v>3870</v>
      </c>
      <c r="F20" s="5" t="n">
        <v>670</v>
      </c>
      <c r="G20" s="5" t="n">
        <v>250</v>
      </c>
      <c r="H20" s="5" t="n">
        <v>105</v>
      </c>
      <c r="I20" s="5" t="n">
        <v>190</v>
      </c>
      <c r="J20" s="4">
        <f>SUM(E20:I20)</f>
        <v/>
      </c>
      <c r="K20" s="4">
        <f>J20*0.09</f>
        <v/>
      </c>
      <c r="L20" s="4">
        <f>J20*0.035</f>
        <v/>
      </c>
      <c r="M20" s="4">
        <f>45</f>
        <v/>
      </c>
      <c r="N20" s="4">
        <f>20</f>
        <v/>
      </c>
      <c r="O20" s="4">
        <f>J20-K20-L20-M20-N20</f>
        <v/>
      </c>
      <c r="P20" s="4" t="inlineStr">
        <is>
          <t>Bank Audi</t>
        </is>
      </c>
    </row>
    <row r="21">
      <c r="A21" s="4" t="inlineStr">
        <is>
          <t>EMP-217</t>
        </is>
      </c>
      <c r="B21" s="4" t="inlineStr">
        <is>
          <t>Elie Rahme</t>
        </is>
      </c>
      <c r="C21" s="4" t="inlineStr">
        <is>
          <t>Procurement</t>
        </is>
      </c>
      <c r="D21" s="4" t="inlineStr">
        <is>
          <t>G5</t>
        </is>
      </c>
      <c r="E21" s="5" t="n">
        <v>3950</v>
      </c>
      <c r="F21" s="5" t="n">
        <v>690</v>
      </c>
      <c r="G21" s="5" t="n">
        <v>255</v>
      </c>
      <c r="H21" s="5" t="n">
        <v>100</v>
      </c>
      <c r="I21" s="5" t="n">
        <v>160</v>
      </c>
      <c r="J21" s="4">
        <f>SUM(E21:I21)</f>
        <v/>
      </c>
      <c r="K21" s="4">
        <f>J21*0.09</f>
        <v/>
      </c>
      <c r="L21" s="4">
        <f>J21*0.035</f>
        <v/>
      </c>
      <c r="M21" s="4">
        <f>45</f>
        <v/>
      </c>
      <c r="N21" s="4">
        <f>20</f>
        <v/>
      </c>
      <c r="O21" s="4">
        <f>J21-K21-L21-M21-N21</f>
        <v/>
      </c>
      <c r="P21" s="4" t="inlineStr">
        <is>
          <t>BankMed</t>
        </is>
      </c>
    </row>
    <row r="22">
      <c r="A22" s="4" t="inlineStr">
        <is>
          <t>EMP-218</t>
        </is>
      </c>
      <c r="B22" s="4" t="inlineStr">
        <is>
          <t>Joelle Saba</t>
        </is>
      </c>
      <c r="C22" s="4" t="inlineStr">
        <is>
          <t>HR</t>
        </is>
      </c>
      <c r="D22" s="4" t="inlineStr">
        <is>
          <t>G4</t>
        </is>
      </c>
      <c r="E22" s="5" t="n">
        <v>3320</v>
      </c>
      <c r="F22" s="5" t="n">
        <v>560</v>
      </c>
      <c r="G22" s="5" t="n">
        <v>220</v>
      </c>
      <c r="H22" s="5" t="n">
        <v>60</v>
      </c>
      <c r="I22" s="5" t="n">
        <v>100</v>
      </c>
      <c r="J22" s="4">
        <f>SUM(E22:I22)</f>
        <v/>
      </c>
      <c r="K22" s="4">
        <f>J22*0.09</f>
        <v/>
      </c>
      <c r="L22" s="4">
        <f>J22*0.035</f>
        <v/>
      </c>
      <c r="M22" s="4">
        <f>45</f>
        <v/>
      </c>
      <c r="N22" s="4">
        <f>20</f>
        <v/>
      </c>
      <c r="O22" s="4">
        <f>J22-K22-L22-M22-N22</f>
        <v/>
      </c>
      <c r="P22" s="4" t="inlineStr">
        <is>
          <t>Byblos</t>
        </is>
      </c>
    </row>
    <row r="23">
      <c r="A23" s="4" t="inlineStr">
        <is>
          <t>EMP-219</t>
        </is>
      </c>
      <c r="B23" s="4" t="inlineStr">
        <is>
          <t>Hassan Dirani</t>
        </is>
      </c>
      <c r="C23" s="4" t="inlineStr">
        <is>
          <t>Facilities</t>
        </is>
      </c>
      <c r="D23" s="4" t="inlineStr">
        <is>
          <t>G4</t>
        </is>
      </c>
      <c r="E23" s="5" t="n">
        <v>3280</v>
      </c>
      <c r="F23" s="5" t="n">
        <v>550</v>
      </c>
      <c r="G23" s="5" t="n">
        <v>210</v>
      </c>
      <c r="H23" s="5" t="n">
        <v>70</v>
      </c>
      <c r="I23" s="5" t="n">
        <v>95</v>
      </c>
      <c r="J23" s="4">
        <f>SUM(E23:I23)</f>
        <v/>
      </c>
      <c r="K23" s="4">
        <f>J23*0.09</f>
        <v/>
      </c>
      <c r="L23" s="4">
        <f>J23*0.035</f>
        <v/>
      </c>
      <c r="M23" s="4">
        <f>45</f>
        <v/>
      </c>
      <c r="N23" s="4">
        <f>20</f>
        <v/>
      </c>
      <c r="O23" s="4">
        <f>J23-K23-L23-M23-N23</f>
        <v/>
      </c>
      <c r="P23" s="4" t="inlineStr">
        <is>
          <t>BLOM</t>
        </is>
      </c>
    </row>
    <row r="24">
      <c r="A24" s="4" t="inlineStr">
        <is>
          <t>EMP-220</t>
        </is>
      </c>
      <c r="B24" s="4" t="inlineStr">
        <is>
          <t>Mira Chahine</t>
        </is>
      </c>
      <c r="C24" s="4" t="inlineStr">
        <is>
          <t>Legal</t>
        </is>
      </c>
      <c r="D24" s="4" t="inlineStr">
        <is>
          <t>G6</t>
        </is>
      </c>
      <c r="E24" s="5" t="n">
        <v>4550</v>
      </c>
      <c r="F24" s="5" t="n">
        <v>800</v>
      </c>
      <c r="G24" s="5" t="n">
        <v>295</v>
      </c>
      <c r="H24" s="5" t="n">
        <v>50</v>
      </c>
      <c r="I24" s="5" t="n">
        <v>260</v>
      </c>
      <c r="J24" s="4">
        <f>SUM(E24:I24)</f>
        <v/>
      </c>
      <c r="K24" s="4">
        <f>J24*0.09</f>
        <v/>
      </c>
      <c r="L24" s="4">
        <f>J24*0.035</f>
        <v/>
      </c>
      <c r="M24" s="4">
        <f>45</f>
        <v/>
      </c>
      <c r="N24" s="4">
        <f>20</f>
        <v/>
      </c>
      <c r="O24" s="4">
        <f>J24-K24-L24-M24-N24</f>
        <v/>
      </c>
      <c r="P24" s="4" t="inlineStr">
        <is>
          <t>Bank Audi</t>
        </is>
      </c>
    </row>
  </sheetData>
  <autoFilter ref="A4:P24"/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Payroll by Department</t>
        </is>
      </c>
    </row>
    <row r="2">
      <c r="A2" s="2" t="inlineStr">
        <is>
          <t>Department-level payroll cost summary</t>
        </is>
      </c>
    </row>
    <row r="3"/>
    <row r="4">
      <c r="A4" s="3" t="inlineStr">
        <is>
          <t>Department</t>
        </is>
      </c>
      <c r="B4" s="3" t="inlineStr">
        <is>
          <t>Headcount</t>
        </is>
      </c>
      <c r="C4" s="3" t="inlineStr">
        <is>
          <t>Gross Payroll</t>
        </is>
      </c>
      <c r="D4" s="3" t="inlineStr">
        <is>
          <t>Net Payroll</t>
        </is>
      </c>
    </row>
    <row r="5">
      <c r="A5" s="4" t="inlineStr">
        <is>
          <t>Finance</t>
        </is>
      </c>
      <c r="B5" s="4">
        <f>COUNTIF('Payroll Master'!C5:C24,A5)</f>
        <v/>
      </c>
      <c r="C5" s="4">
        <f>SUMIF('Payroll Master'!C5:C24,A5,'Payroll Master'!J5:J24)</f>
        <v/>
      </c>
      <c r="D5" s="4">
        <f>SUMIF('Payroll Master'!C5:C24,A5,'Payroll Master'!O5:O24)</f>
        <v/>
      </c>
    </row>
    <row r="6">
      <c r="A6" s="4" t="inlineStr">
        <is>
          <t>Operations</t>
        </is>
      </c>
      <c r="B6" s="4">
        <f>COUNTIF('Payroll Master'!C5:C24,A6)</f>
        <v/>
      </c>
      <c r="C6" s="4">
        <f>SUMIF('Payroll Master'!C5:C24,A6,'Payroll Master'!J5:J24)</f>
        <v/>
      </c>
      <c r="D6" s="4">
        <f>SUMIF('Payroll Master'!C5:C24,A6,'Payroll Master'!O5:O24)</f>
        <v/>
      </c>
    </row>
    <row r="7">
      <c r="A7" s="4" t="inlineStr">
        <is>
          <t>Sales</t>
        </is>
      </c>
      <c r="B7" s="4">
        <f>COUNTIF('Payroll Master'!C5:C24,A7)</f>
        <v/>
      </c>
      <c r="C7" s="4">
        <f>SUMIF('Payroll Master'!C5:C24,A7,'Payroll Master'!J5:J24)</f>
        <v/>
      </c>
      <c r="D7" s="4">
        <f>SUMIF('Payroll Master'!C5:C24,A7,'Payroll Master'!O5:O24)</f>
        <v/>
      </c>
    </row>
    <row r="8">
      <c r="A8" s="4" t="inlineStr">
        <is>
          <t>Marketing</t>
        </is>
      </c>
      <c r="B8" s="4">
        <f>COUNTIF('Payroll Master'!C5:C24,A8)</f>
        <v/>
      </c>
      <c r="C8" s="4">
        <f>SUMIF('Payroll Master'!C5:C24,A8,'Payroll Master'!J5:J24)</f>
        <v/>
      </c>
      <c r="D8" s="4">
        <f>SUMIF('Payroll Master'!C5:C24,A8,'Payroll Master'!O5:O24)</f>
        <v/>
      </c>
    </row>
    <row r="9">
      <c r="A9" s="4" t="inlineStr">
        <is>
          <t>IT</t>
        </is>
      </c>
      <c r="B9" s="4">
        <f>COUNTIF('Payroll Master'!C5:C24,A9)</f>
        <v/>
      </c>
      <c r="C9" s="4">
        <f>SUMIF('Payroll Master'!C5:C24,A9,'Payroll Master'!J5:J24)</f>
        <v/>
      </c>
      <c r="D9" s="4">
        <f>SUMIF('Payroll Master'!C5:C24,A9,'Payroll Master'!O5:O24)</f>
        <v/>
      </c>
    </row>
    <row r="10">
      <c r="A10" s="4" t="inlineStr">
        <is>
          <t>HR</t>
        </is>
      </c>
      <c r="B10" s="4">
        <f>COUNTIF('Payroll Master'!C5:C24,A10)</f>
        <v/>
      </c>
      <c r="C10" s="4">
        <f>SUMIF('Payroll Master'!C5:C24,A10,'Payroll Master'!J5:J24)</f>
        <v/>
      </c>
      <c r="D10" s="4">
        <f>SUMIF('Payroll Master'!C5:C24,A10,'Payroll Master'!O5:O24)</f>
        <v/>
      </c>
    </row>
    <row r="11">
      <c r="A11" s="4" t="inlineStr">
        <is>
          <t>Procurement</t>
        </is>
      </c>
      <c r="B11" s="4">
        <f>COUNTIF('Payroll Master'!C5:C24,A11)</f>
        <v/>
      </c>
      <c r="C11" s="4">
        <f>SUMIF('Payroll Master'!C5:C24,A11,'Payroll Master'!J5:J24)</f>
        <v/>
      </c>
      <c r="D11" s="4">
        <f>SUMIF('Payroll Master'!C5:C24,A11,'Payroll Master'!O5:O24)</f>
        <v/>
      </c>
    </row>
    <row r="12">
      <c r="A12" s="4" t="inlineStr">
        <is>
          <t>Logistics</t>
        </is>
      </c>
      <c r="B12" s="4">
        <f>COUNTIF('Payroll Master'!C5:C24,A12)</f>
        <v/>
      </c>
      <c r="C12" s="4">
        <f>SUMIF('Payroll Master'!C5:C24,A12,'Payroll Master'!J5:J24)</f>
        <v/>
      </c>
      <c r="D12" s="4">
        <f>SUMIF('Payroll Master'!C5:C24,A12,'Payroll Master'!O5:O24)</f>
        <v/>
      </c>
    </row>
    <row r="13">
      <c r="A13" s="4" t="inlineStr">
        <is>
          <t>Legal</t>
        </is>
      </c>
      <c r="B13" s="4">
        <f>COUNTIF('Payroll Master'!C5:C24,A13)</f>
        <v/>
      </c>
      <c r="C13" s="4">
        <f>SUMIF('Payroll Master'!C5:C24,A13,'Payroll Master'!J5:J24)</f>
        <v/>
      </c>
      <c r="D13" s="4">
        <f>SUMIF('Payroll Master'!C5:C24,A13,'Payroll Master'!O5:O24)</f>
        <v/>
      </c>
    </row>
    <row r="14">
      <c r="A14" s="4" t="inlineStr">
        <is>
          <t>Facilities</t>
        </is>
      </c>
      <c r="B14" s="4">
        <f>COUNTIF('Payroll Master'!C5:C24,A14)</f>
        <v/>
      </c>
      <c r="C14" s="4">
        <f>SUMIF('Payroll Master'!C5:C24,A14,'Payroll Master'!J5:J24)</f>
        <v/>
      </c>
      <c r="D14" s="4">
        <f>SUMIF('Payroll Master'!C5:C24,A14,'Payroll Master'!O5:O24)</f>
        <v/>
      </c>
    </row>
  </sheetData>
  <autoFilter ref="A4:D1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2026-04-10T09:50:39Z</dcterms:created>
  <dcterms:modified xsi:type="dcterms:W3CDTF">2026-04-10T09:50:39Z</dcterms:modified>
</cp:coreProperties>
</file>