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Summary" sheetId="1" state="visible" r:id="rId1"/>
    <sheet name="Operating Detail" sheetId="2" state="visible" r:id="rId2"/>
    <sheet name="Financing &amp; CAPEX" sheetId="3" state="visible" r:id="rId3"/>
  </sheets>
  <definedNames>
    <definedName name="_xlnm._FilterDatabase" localSheetId="0" hidden="1">'Cash Flow Summary'!$A$4:$I$16</definedName>
    <definedName name="_xlnm._FilterDatabase" localSheetId="1" hidden="1">'Operating Detail'!$A$4:$N$12</definedName>
    <definedName name="_xlnm._FilterDatabase" localSheetId="2" hidden="1">'Financing &amp; CAPEX'!$A$4:$F$12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B2430"/>
    </font>
  </fonts>
  <fills count="5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EAF1F8"/>
      </patternFill>
    </fill>
    <fill>
      <patternFill patternType="solid">
        <fgColor rgb="00DDF3EC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/>
    </xf>
    <xf numFmtId="0" fontId="3" fillId="4" borderId="1" pivotButton="0" quotePrefix="0" xfId="0"/>
    <xf numFmtId="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Closing Cash Trend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 Summary'!I4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Summary'!$A$5:$A$16</f>
            </numRef>
          </cat>
          <val>
            <numRef>
              <f>'Cash Flow Summary'!$I$5:$I$16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2" customWidth="1" min="3" max="3"/>
    <col width="17" customWidth="1" min="4" max="4"/>
    <col width="12" customWidth="1" min="5" max="5"/>
    <col width="12" customWidth="1" min="6" max="6"/>
    <col width="12" customWidth="1" min="7" max="7"/>
    <col width="22" customWidth="1" min="8" max="8"/>
    <col width="17" customWidth="1" min="9" max="9"/>
  </cols>
  <sheetData>
    <row r="1">
      <c r="A1" s="1" t="inlineStr">
        <is>
          <t>Corporate Cash Flow Forecast</t>
        </is>
      </c>
    </row>
    <row r="2">
      <c r="A2" s="2" t="inlineStr">
        <is>
          <t>12-month operating, investing, and financing outlook</t>
        </is>
      </c>
    </row>
    <row r="3"/>
    <row r="4">
      <c r="A4" s="3" t="inlineStr">
        <is>
          <t>Month</t>
        </is>
      </c>
      <c r="B4" s="3" t="inlineStr">
        <is>
          <t>Opening Balance</t>
        </is>
      </c>
      <c r="C4" s="3" t="inlineStr">
        <is>
          <t>Customer Collections</t>
        </is>
      </c>
      <c r="D4" s="3" t="inlineStr">
        <is>
          <t>Operating Costs</t>
        </is>
      </c>
      <c r="E4" s="3" t="inlineStr">
        <is>
          <t>Payroll</t>
        </is>
      </c>
      <c r="F4" s="3" t="inlineStr">
        <is>
          <t>CAPEX</t>
        </is>
      </c>
      <c r="G4" s="3" t="inlineStr">
        <is>
          <t>Taxes</t>
        </is>
      </c>
      <c r="H4" s="3" t="inlineStr">
        <is>
          <t>Net Movement</t>
        </is>
      </c>
      <c r="I4" s="3" t="inlineStr">
        <is>
          <t>Closing Balance</t>
        </is>
      </c>
    </row>
    <row r="5">
      <c r="A5" s="4" t="inlineStr">
        <is>
          <t>Jan</t>
        </is>
      </c>
      <c r="B5" s="5" t="n">
        <v>325000</v>
      </c>
      <c r="C5" s="5" t="n">
        <v>410000</v>
      </c>
      <c r="D5" s="5" t="n">
        <v>198000</v>
      </c>
      <c r="E5" s="5" t="n">
        <v>122000</v>
      </c>
      <c r="F5" s="5" t="n">
        <v>32000</v>
      </c>
      <c r="G5" s="5" t="n">
        <v>22000</v>
      </c>
      <c r="H5" s="4">
        <f>C5-(D5+E5+F5+G5)</f>
        <v/>
      </c>
      <c r="I5" s="4">
        <f>B5+H5</f>
        <v/>
      </c>
    </row>
    <row r="6">
      <c r="A6" s="4" t="inlineStr">
        <is>
          <t>Feb</t>
        </is>
      </c>
      <c r="B6" s="4">
        <f>I5</f>
        <v/>
      </c>
      <c r="C6" s="5" t="n">
        <v>428000</v>
      </c>
      <c r="D6" s="5" t="n">
        <v>201500</v>
      </c>
      <c r="E6" s="5" t="n">
        <v>123500</v>
      </c>
      <c r="F6" s="5" t="n">
        <v>18000</v>
      </c>
      <c r="G6" s="5" t="n">
        <v>21000</v>
      </c>
      <c r="H6" s="4">
        <f>C6-(D6+E6+F6+G6)</f>
        <v/>
      </c>
      <c r="I6" s="4">
        <f>B6+H6</f>
        <v/>
      </c>
    </row>
    <row r="7">
      <c r="A7" s="4" t="inlineStr">
        <is>
          <t>Mar</t>
        </is>
      </c>
      <c r="B7" s="4">
        <f>I6</f>
        <v/>
      </c>
      <c r="C7" s="5" t="n">
        <v>452500</v>
      </c>
      <c r="D7" s="5" t="n">
        <v>208400</v>
      </c>
      <c r="E7" s="5" t="n">
        <v>124000</v>
      </c>
      <c r="F7" s="5" t="n">
        <v>42000</v>
      </c>
      <c r="G7" s="5" t="n">
        <v>24000</v>
      </c>
      <c r="H7" s="4">
        <f>C7-(D7+E7+F7+G7)</f>
        <v/>
      </c>
      <c r="I7" s="4">
        <f>B7+H7</f>
        <v/>
      </c>
    </row>
    <row r="8">
      <c r="A8" s="4" t="inlineStr">
        <is>
          <t>Apr</t>
        </is>
      </c>
      <c r="B8" s="4">
        <f>I7</f>
        <v/>
      </c>
      <c r="C8" s="5" t="n">
        <v>468000</v>
      </c>
      <c r="D8" s="5" t="n">
        <v>214000</v>
      </c>
      <c r="E8" s="5" t="n">
        <v>125500</v>
      </c>
      <c r="F8" s="5" t="n">
        <v>21000</v>
      </c>
      <c r="G8" s="5" t="n">
        <v>23000</v>
      </c>
      <c r="H8" s="4">
        <f>C8-(D8+E8+F8+G8)</f>
        <v/>
      </c>
      <c r="I8" s="4">
        <f>B8+H8</f>
        <v/>
      </c>
    </row>
    <row r="9">
      <c r="A9" s="4" t="inlineStr">
        <is>
          <t>May</t>
        </is>
      </c>
      <c r="B9" s="4">
        <f>I8</f>
        <v/>
      </c>
      <c r="C9" s="5" t="n">
        <v>482000</v>
      </c>
      <c r="D9" s="5" t="n">
        <v>219500</v>
      </c>
      <c r="E9" s="5" t="n">
        <v>126800</v>
      </c>
      <c r="F9" s="5" t="n">
        <v>38000</v>
      </c>
      <c r="G9" s="5" t="n">
        <v>25000</v>
      </c>
      <c r="H9" s="4">
        <f>C9-(D9+E9+F9+G9)</f>
        <v/>
      </c>
      <c r="I9" s="4">
        <f>B9+H9</f>
        <v/>
      </c>
    </row>
    <row r="10">
      <c r="A10" s="4" t="inlineStr">
        <is>
          <t>Jun</t>
        </is>
      </c>
      <c r="B10" s="4">
        <f>I9</f>
        <v/>
      </c>
      <c r="C10" s="5" t="n">
        <v>497500</v>
      </c>
      <c r="D10" s="5" t="n">
        <v>223000</v>
      </c>
      <c r="E10" s="5" t="n">
        <v>128000</v>
      </c>
      <c r="F10" s="5" t="n">
        <v>24000</v>
      </c>
      <c r="G10" s="5" t="n">
        <v>24500</v>
      </c>
      <c r="H10" s="4">
        <f>C10-(D10+E10+F10+G10)</f>
        <v/>
      </c>
      <c r="I10" s="4">
        <f>B10+H10</f>
        <v/>
      </c>
    </row>
    <row r="11">
      <c r="A11" s="4" t="inlineStr">
        <is>
          <t>Jul</t>
        </is>
      </c>
      <c r="B11" s="4">
        <f>I10</f>
        <v/>
      </c>
      <c r="C11" s="5" t="n">
        <v>505000</v>
      </c>
      <c r="D11" s="5" t="n">
        <v>227600</v>
      </c>
      <c r="E11" s="5" t="n">
        <v>129200</v>
      </c>
      <c r="F11" s="5" t="n">
        <v>46000</v>
      </c>
      <c r="G11" s="5" t="n">
        <v>25500</v>
      </c>
      <c r="H11" s="4">
        <f>C11-(D11+E11+F11+G11)</f>
        <v/>
      </c>
      <c r="I11" s="4">
        <f>B11+H11</f>
        <v/>
      </c>
    </row>
    <row r="12">
      <c r="A12" s="4" t="inlineStr">
        <is>
          <t>Aug</t>
        </is>
      </c>
      <c r="B12" s="4">
        <f>I11</f>
        <v/>
      </c>
      <c r="C12" s="5" t="n">
        <v>519500</v>
      </c>
      <c r="D12" s="5" t="n">
        <v>231400</v>
      </c>
      <c r="E12" s="5" t="n">
        <v>130400</v>
      </c>
      <c r="F12" s="5" t="n">
        <v>22000</v>
      </c>
      <c r="G12" s="5" t="n">
        <v>26000</v>
      </c>
      <c r="H12" s="4">
        <f>C12-(D12+E12+F12+G12)</f>
        <v/>
      </c>
      <c r="I12" s="4">
        <f>B12+H12</f>
        <v/>
      </c>
    </row>
    <row r="13">
      <c r="A13" s="4" t="inlineStr">
        <is>
          <t>Sep</t>
        </is>
      </c>
      <c r="B13" s="4">
        <f>I12</f>
        <v/>
      </c>
      <c r="C13" s="5" t="n">
        <v>533000</v>
      </c>
      <c r="D13" s="5" t="n">
        <v>236200</v>
      </c>
      <c r="E13" s="5" t="n">
        <v>131600</v>
      </c>
      <c r="F13" s="5" t="n">
        <v>35000</v>
      </c>
      <c r="G13" s="5" t="n">
        <v>25800</v>
      </c>
      <c r="H13" s="4">
        <f>C13-(D13+E13+F13+G13)</f>
        <v/>
      </c>
      <c r="I13" s="4">
        <f>B13+H13</f>
        <v/>
      </c>
    </row>
    <row r="14">
      <c r="A14" s="4" t="inlineStr">
        <is>
          <t>Oct</t>
        </is>
      </c>
      <c r="B14" s="4">
        <f>I13</f>
        <v/>
      </c>
      <c r="C14" s="5" t="n">
        <v>548000</v>
      </c>
      <c r="D14" s="5" t="n">
        <v>241500</v>
      </c>
      <c r="E14" s="5" t="n">
        <v>132500</v>
      </c>
      <c r="F14" s="5" t="n">
        <v>27000</v>
      </c>
      <c r="G14" s="5" t="n">
        <v>26700</v>
      </c>
      <c r="H14" s="4">
        <f>C14-(D14+E14+F14+G14)</f>
        <v/>
      </c>
      <c r="I14" s="4">
        <f>B14+H14</f>
        <v/>
      </c>
    </row>
    <row r="15">
      <c r="A15" s="4" t="inlineStr">
        <is>
          <t>Nov</t>
        </is>
      </c>
      <c r="B15" s="4">
        <f>I14</f>
        <v/>
      </c>
      <c r="C15" s="5" t="n">
        <v>566000</v>
      </c>
      <c r="D15" s="5" t="n">
        <v>248300</v>
      </c>
      <c r="E15" s="5" t="n">
        <v>133800</v>
      </c>
      <c r="F15" s="5" t="n">
        <v>41000</v>
      </c>
      <c r="G15" s="5" t="n">
        <v>27400</v>
      </c>
      <c r="H15" s="4">
        <f>C15-(D15+E15+F15+G15)</f>
        <v/>
      </c>
      <c r="I15" s="4">
        <f>B15+H15</f>
        <v/>
      </c>
    </row>
    <row r="16">
      <c r="A16" s="4" t="inlineStr">
        <is>
          <t>Dec</t>
        </is>
      </c>
      <c r="B16" s="4">
        <f>I15</f>
        <v/>
      </c>
      <c r="C16" s="5" t="n">
        <v>584500</v>
      </c>
      <c r="D16" s="5" t="n">
        <v>255000</v>
      </c>
      <c r="E16" s="5" t="n">
        <v>135200</v>
      </c>
      <c r="F16" s="5" t="n">
        <v>30000</v>
      </c>
      <c r="G16" s="5" t="n">
        <v>28100</v>
      </c>
      <c r="H16" s="4">
        <f>C16-(D16+E16+F16+G16)</f>
        <v/>
      </c>
      <c r="I16" s="4">
        <f>B16+H16</f>
        <v/>
      </c>
    </row>
    <row r="18">
      <c r="A18" s="6" t="inlineStr">
        <is>
          <t>Year-End Closing Cash</t>
        </is>
      </c>
      <c r="B18" s="7">
        <f>I16</f>
        <v/>
      </c>
    </row>
  </sheetData>
  <autoFilter ref="A4:I16"/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Operating Expense Detail</t>
        </is>
      </c>
    </row>
    <row r="2">
      <c r="A2" s="2" t="inlineStr">
        <is>
          <t>Department-level operating cash outflow categories</t>
        </is>
      </c>
    </row>
    <row r="3"/>
    <row r="4">
      <c r="A4" s="3" t="inlineStr">
        <is>
          <t>Line Item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Annual Total</t>
        </is>
      </c>
    </row>
    <row r="5">
      <c r="A5" s="4" t="inlineStr">
        <is>
          <t>Rent &amp; Facilities</t>
        </is>
      </c>
      <c r="B5" s="5" t="n">
        <v>52000</v>
      </c>
      <c r="C5" s="5" t="n">
        <v>52000</v>
      </c>
      <c r="D5" s="5" t="n">
        <v>52000</v>
      </c>
      <c r="E5" s="5" t="n">
        <v>52500</v>
      </c>
      <c r="F5" s="5" t="n">
        <v>52500</v>
      </c>
      <c r="G5" s="5" t="n">
        <v>53000</v>
      </c>
      <c r="H5" s="5" t="n">
        <v>53000</v>
      </c>
      <c r="I5" s="5" t="n">
        <v>53000</v>
      </c>
      <c r="J5" s="5" t="n">
        <v>53500</v>
      </c>
      <c r="K5" s="5" t="n">
        <v>53500</v>
      </c>
      <c r="L5" s="5" t="n">
        <v>54000</v>
      </c>
      <c r="M5" s="5" t="n">
        <v>54000</v>
      </c>
      <c r="N5" s="4">
        <f>SUM(B5:M5)</f>
        <v/>
      </c>
    </row>
    <row r="6">
      <c r="A6" s="4" t="inlineStr">
        <is>
          <t>Utilities</t>
        </is>
      </c>
      <c r="B6" s="5" t="n">
        <v>14500</v>
      </c>
      <c r="C6" s="5" t="n">
        <v>14200</v>
      </c>
      <c r="D6" s="5" t="n">
        <v>14800</v>
      </c>
      <c r="E6" s="5" t="n">
        <v>15000</v>
      </c>
      <c r="F6" s="5" t="n">
        <v>15100</v>
      </c>
      <c r="G6" s="5" t="n">
        <v>15300</v>
      </c>
      <c r="H6" s="5" t="n">
        <v>15600</v>
      </c>
      <c r="I6" s="5" t="n">
        <v>15800</v>
      </c>
      <c r="J6" s="5" t="n">
        <v>15900</v>
      </c>
      <c r="K6" s="5" t="n">
        <v>16000</v>
      </c>
      <c r="L6" s="5" t="n">
        <v>16200</v>
      </c>
      <c r="M6" s="5" t="n">
        <v>16400</v>
      </c>
      <c r="N6" s="4">
        <f>SUM(B6:M6)</f>
        <v/>
      </c>
    </row>
    <row r="7">
      <c r="A7" s="4" t="inlineStr">
        <is>
          <t>Software &amp; Licenses</t>
        </is>
      </c>
      <c r="B7" s="5" t="n">
        <v>22000</v>
      </c>
      <c r="C7" s="5" t="n">
        <v>22000</v>
      </c>
      <c r="D7" s="5" t="n">
        <v>22500</v>
      </c>
      <c r="E7" s="5" t="n">
        <v>23000</v>
      </c>
      <c r="F7" s="5" t="n">
        <v>23000</v>
      </c>
      <c r="G7" s="5" t="n">
        <v>23500</v>
      </c>
      <c r="H7" s="5" t="n">
        <v>24000</v>
      </c>
      <c r="I7" s="5" t="n">
        <v>24000</v>
      </c>
      <c r="J7" s="5" t="n">
        <v>24500</v>
      </c>
      <c r="K7" s="5" t="n">
        <v>25000</v>
      </c>
      <c r="L7" s="5" t="n">
        <v>25200</v>
      </c>
      <c r="M7" s="5" t="n">
        <v>25500</v>
      </c>
      <c r="N7" s="4">
        <f>SUM(B7:M7)</f>
        <v/>
      </c>
    </row>
    <row r="8">
      <c r="A8" s="4" t="inlineStr">
        <is>
          <t>Travel &amp; Client Meetings</t>
        </is>
      </c>
      <c r="B8" s="5" t="n">
        <v>9800</v>
      </c>
      <c r="C8" s="5" t="n">
        <v>10500</v>
      </c>
      <c r="D8" s="5" t="n">
        <v>11200</v>
      </c>
      <c r="E8" s="5" t="n">
        <v>11600</v>
      </c>
      <c r="F8" s="5" t="n">
        <v>11800</v>
      </c>
      <c r="G8" s="5" t="n">
        <v>12100</v>
      </c>
      <c r="H8" s="5" t="n">
        <v>12300</v>
      </c>
      <c r="I8" s="5" t="n">
        <v>12700</v>
      </c>
      <c r="J8" s="5" t="n">
        <v>12900</v>
      </c>
      <c r="K8" s="5" t="n">
        <v>13400</v>
      </c>
      <c r="L8" s="5" t="n">
        <v>13800</v>
      </c>
      <c r="M8" s="5" t="n">
        <v>14200</v>
      </c>
      <c r="N8" s="4">
        <f>SUM(B8:M8)</f>
        <v/>
      </c>
    </row>
    <row r="9">
      <c r="A9" s="4" t="inlineStr">
        <is>
          <t>Professional Services</t>
        </is>
      </c>
      <c r="B9" s="5" t="n">
        <v>18000</v>
      </c>
      <c r="C9" s="5" t="n">
        <v>17600</v>
      </c>
      <c r="D9" s="5" t="n">
        <v>18500</v>
      </c>
      <c r="E9" s="5" t="n">
        <v>18800</v>
      </c>
      <c r="F9" s="5" t="n">
        <v>19200</v>
      </c>
      <c r="G9" s="5" t="n">
        <v>19600</v>
      </c>
      <c r="H9" s="5" t="n">
        <v>20000</v>
      </c>
      <c r="I9" s="5" t="n">
        <v>20400</v>
      </c>
      <c r="J9" s="5" t="n">
        <v>20800</v>
      </c>
      <c r="K9" s="5" t="n">
        <v>21200</v>
      </c>
      <c r="L9" s="5" t="n">
        <v>21500</v>
      </c>
      <c r="M9" s="5" t="n">
        <v>21900</v>
      </c>
      <c r="N9" s="4">
        <f>SUM(B9:M9)</f>
        <v/>
      </c>
    </row>
    <row r="10">
      <c r="A10" s="4" t="inlineStr">
        <is>
          <t>Warehouse &amp; Distribution</t>
        </is>
      </c>
      <c r="B10" s="5" t="n">
        <v>31700</v>
      </c>
      <c r="C10" s="5" t="n">
        <v>33200</v>
      </c>
      <c r="D10" s="5" t="n">
        <v>34000</v>
      </c>
      <c r="E10" s="5" t="n">
        <v>34600</v>
      </c>
      <c r="F10" s="5" t="n">
        <v>35200</v>
      </c>
      <c r="G10" s="5" t="n">
        <v>35600</v>
      </c>
      <c r="H10" s="5" t="n">
        <v>36000</v>
      </c>
      <c r="I10" s="5" t="n">
        <v>36500</v>
      </c>
      <c r="J10" s="5" t="n">
        <v>37000</v>
      </c>
      <c r="K10" s="5" t="n">
        <v>37400</v>
      </c>
      <c r="L10" s="5" t="n">
        <v>38100</v>
      </c>
      <c r="M10" s="5" t="n">
        <v>38800</v>
      </c>
      <c r="N10" s="4">
        <f>SUM(B10:M10)</f>
        <v/>
      </c>
    </row>
    <row r="11">
      <c r="A11" s="4" t="inlineStr">
        <is>
          <t>Communications</t>
        </is>
      </c>
      <c r="B11" s="5" t="n">
        <v>6200</v>
      </c>
      <c r="C11" s="5" t="n">
        <v>6250</v>
      </c>
      <c r="D11" s="5" t="n">
        <v>6300</v>
      </c>
      <c r="E11" s="5" t="n">
        <v>6320</v>
      </c>
      <c r="F11" s="5" t="n">
        <v>6380</v>
      </c>
      <c r="G11" s="5" t="n">
        <v>6450</v>
      </c>
      <c r="H11" s="5" t="n">
        <v>6500</v>
      </c>
      <c r="I11" s="5" t="n">
        <v>6560</v>
      </c>
      <c r="J11" s="5" t="n">
        <v>6600</v>
      </c>
      <c r="K11" s="5" t="n">
        <v>6670</v>
      </c>
      <c r="L11" s="5" t="n">
        <v>6730</v>
      </c>
      <c r="M11" s="5" t="n">
        <v>6790</v>
      </c>
      <c r="N11" s="4">
        <f>SUM(B11:M11)</f>
        <v/>
      </c>
    </row>
    <row r="12">
      <c r="A12" s="4" t="inlineStr">
        <is>
          <t>Insurance</t>
        </is>
      </c>
      <c r="B12" s="5" t="n">
        <v>13800</v>
      </c>
      <c r="C12" s="5" t="n">
        <v>13800</v>
      </c>
      <c r="D12" s="5" t="n">
        <v>13800</v>
      </c>
      <c r="E12" s="5" t="n">
        <v>13800</v>
      </c>
      <c r="F12" s="5" t="n">
        <v>14000</v>
      </c>
      <c r="G12" s="5" t="n">
        <v>14000</v>
      </c>
      <c r="H12" s="5" t="n">
        <v>14000</v>
      </c>
      <c r="I12" s="5" t="n">
        <v>14000</v>
      </c>
      <c r="J12" s="5" t="n">
        <v>14200</v>
      </c>
      <c r="K12" s="5" t="n">
        <v>14200</v>
      </c>
      <c r="L12" s="5" t="n">
        <v>14200</v>
      </c>
      <c r="M12" s="5" t="n">
        <v>14200</v>
      </c>
      <c r="N12" s="4">
        <f>SUM(B12:M12)</f>
        <v/>
      </c>
    </row>
  </sheetData>
  <autoFilter ref="A4:N12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Financing and CAPEX Register</t>
        </is>
      </c>
    </row>
    <row r="2">
      <c r="A2" s="2" t="inlineStr">
        <is>
          <t>Major investments and financing activities</t>
        </is>
      </c>
    </row>
    <row r="3"/>
    <row r="4">
      <c r="A4" s="3" t="inlineStr">
        <is>
          <t>Activity</t>
        </is>
      </c>
      <c r="B4" s="3" t="inlineStr">
        <is>
          <t>Quarter</t>
        </is>
      </c>
      <c r="C4" s="3" t="inlineStr">
        <is>
          <t>Budget</t>
        </is>
      </c>
      <c r="D4" s="3" t="inlineStr">
        <is>
          <t>Actual</t>
        </is>
      </c>
      <c r="E4" s="3" t="inlineStr">
        <is>
          <t>Variance</t>
        </is>
      </c>
      <c r="F4" s="3" t="inlineStr">
        <is>
          <t>Remarks</t>
        </is>
      </c>
    </row>
    <row r="5">
      <c r="A5" s="4" t="inlineStr">
        <is>
          <t>ERP Infrastructure Upgrade</t>
        </is>
      </c>
      <c r="B5" s="4" t="inlineStr">
        <is>
          <t>Q1</t>
        </is>
      </c>
      <c r="C5" s="5" t="n">
        <v>125000</v>
      </c>
      <c r="D5" s="5" t="n">
        <v>119500</v>
      </c>
      <c r="E5" s="4">
        <f>D5-C5</f>
        <v/>
      </c>
      <c r="F5" s="4" t="inlineStr">
        <is>
          <t>Completed under budget</t>
        </is>
      </c>
    </row>
    <row r="6">
      <c r="A6" s="4" t="inlineStr">
        <is>
          <t>Warehouse Automation</t>
        </is>
      </c>
      <c r="B6" s="4" t="inlineStr">
        <is>
          <t>Q1</t>
        </is>
      </c>
      <c r="C6" s="5" t="n">
        <v>88000</v>
      </c>
      <c r="D6" s="5" t="n">
        <v>90500</v>
      </c>
      <c r="E6" s="4">
        <f>D6-C6</f>
        <v/>
      </c>
      <c r="F6" s="4" t="inlineStr">
        <is>
          <t>Minor overrun</t>
        </is>
      </c>
    </row>
    <row r="7">
      <c r="A7" s="4" t="inlineStr">
        <is>
          <t>Fleet Expansion</t>
        </is>
      </c>
      <c r="B7" s="4" t="inlineStr">
        <is>
          <t>Q2</t>
        </is>
      </c>
      <c r="C7" s="5" t="n">
        <v>146000</v>
      </c>
      <c r="D7" s="5" t="n">
        <v>139000</v>
      </c>
      <c r="E7" s="4">
        <f>D7-C7</f>
        <v/>
      </c>
      <c r="F7" s="4" t="inlineStr">
        <is>
          <t>Completed</t>
        </is>
      </c>
    </row>
    <row r="8">
      <c r="A8" s="4" t="inlineStr">
        <is>
          <t>Cybersecurity Program</t>
        </is>
      </c>
      <c r="B8" s="4" t="inlineStr">
        <is>
          <t>Q2</t>
        </is>
      </c>
      <c r="C8" s="5" t="n">
        <v>73000</v>
      </c>
      <c r="D8" s="5" t="n">
        <v>72100</v>
      </c>
      <c r="E8" s="4">
        <f>D8-C8</f>
        <v/>
      </c>
      <c r="F8" s="4" t="inlineStr">
        <is>
          <t>On budget</t>
        </is>
      </c>
    </row>
    <row r="9">
      <c r="A9" s="4" t="inlineStr">
        <is>
          <t>Branch Renovation</t>
        </is>
      </c>
      <c r="B9" s="4" t="inlineStr">
        <is>
          <t>Q3</t>
        </is>
      </c>
      <c r="C9" s="5" t="n">
        <v>98000</v>
      </c>
      <c r="D9" s="5" t="n">
        <v>101600</v>
      </c>
      <c r="E9" s="4">
        <f>D9-C9</f>
        <v/>
      </c>
      <c r="F9" s="4" t="inlineStr">
        <is>
          <t>Scope increase</t>
        </is>
      </c>
    </row>
    <row r="10">
      <c r="A10" s="4" t="inlineStr">
        <is>
          <t>Disaster Recovery Setup</t>
        </is>
      </c>
      <c r="B10" s="4" t="inlineStr">
        <is>
          <t>Q3</t>
        </is>
      </c>
      <c r="C10" s="5" t="n">
        <v>54000</v>
      </c>
      <c r="D10" s="5" t="n">
        <v>52500</v>
      </c>
      <c r="E10" s="4">
        <f>D10-C10</f>
        <v/>
      </c>
      <c r="F10" s="4" t="inlineStr">
        <is>
          <t>Completed</t>
        </is>
      </c>
    </row>
    <row r="11">
      <c r="A11" s="4" t="inlineStr">
        <is>
          <t>Data Center Backup</t>
        </is>
      </c>
      <c r="B11" s="4" t="inlineStr">
        <is>
          <t>Q4</t>
        </is>
      </c>
      <c r="C11" s="5" t="n">
        <v>67000</v>
      </c>
      <c r="D11" s="5" t="n">
        <v>64800</v>
      </c>
      <c r="E11" s="4">
        <f>D11-C11</f>
        <v/>
      </c>
      <c r="F11" s="4" t="inlineStr">
        <is>
          <t>On budget</t>
        </is>
      </c>
    </row>
    <row r="12">
      <c r="A12" s="4" t="inlineStr">
        <is>
          <t>Working Capital Facility</t>
        </is>
      </c>
      <c r="B12" s="4" t="inlineStr">
        <is>
          <t>Q4</t>
        </is>
      </c>
      <c r="C12" s="5" t="n">
        <v>250000</v>
      </c>
      <c r="D12" s="5" t="n">
        <v>250000</v>
      </c>
      <c r="E12" s="4">
        <f>D12-C12</f>
        <v/>
      </c>
      <c r="F12" s="4" t="inlineStr">
        <is>
          <t>Approved line</t>
        </is>
      </c>
    </row>
  </sheetData>
  <autoFilter ref="A4:F12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2026-04-10T09:50:39Z</dcterms:created>
  <dcterms:modified xsi:type="dcterms:W3CDTF">2026-04-10T09:50:39Z</dcterms:modified>
</cp:coreProperties>
</file>