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vables Ledger" sheetId="1" state="visible" r:id="rId1"/>
    <sheet name="Aging Summary" sheetId="2" state="visible" r:id="rId2"/>
    <sheet name="Collection Notes" sheetId="3" state="visible" r:id="rId3"/>
  </sheets>
  <definedNames>
    <definedName name="_xlnm._FilterDatabase" localSheetId="0" hidden="1">'Receivables Ledger'!$A$4:$L$24</definedName>
    <definedName name="_xlnm._FilterDatabase" localSheetId="1" hidden="1">'Aging Summary'!$A$4:$D$8</definedName>
    <definedName name="_xlnm._FilterDatabase" localSheetId="2" hidden="1">'Collection Notes'!$A$4:$E$9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3" customWidth="1" min="8" max="8"/>
    <col width="12" customWidth="1" min="9" max="9"/>
    <col width="12" customWidth="1" min="10" max="10"/>
    <col width="17" customWidth="1" min="11" max="11"/>
    <col width="12" customWidth="1" min="12" max="12"/>
  </cols>
  <sheetData>
    <row r="1">
      <c r="A1" s="1" t="inlineStr">
        <is>
          <t>Invoice Aging Tracker</t>
        </is>
      </c>
    </row>
    <row r="2">
      <c r="A2" s="2" t="inlineStr">
        <is>
          <t>Detailed customer receivables register for a large company portfolio</t>
        </is>
      </c>
    </row>
    <row r="3"/>
    <row r="4">
      <c r="A4" s="3" t="inlineStr">
        <is>
          <t>Invoice No</t>
        </is>
      </c>
      <c r="B4" s="3" t="inlineStr">
        <is>
          <t>Client</t>
        </is>
      </c>
      <c r="C4" s="3" t="inlineStr">
        <is>
          <t>Business Unit</t>
        </is>
      </c>
      <c r="D4" s="3" t="inlineStr">
        <is>
          <t>Issue Date</t>
        </is>
      </c>
      <c r="E4" s="3" t="inlineStr">
        <is>
          <t>Due Date</t>
        </is>
      </c>
      <c r="F4" s="3" t="inlineStr">
        <is>
          <t>Invoice Amount</t>
        </is>
      </c>
      <c r="G4" s="3" t="inlineStr">
        <is>
          <t>Received</t>
        </is>
      </c>
      <c r="H4" s="3" t="inlineStr">
        <is>
          <t>Outstanding</t>
        </is>
      </c>
      <c r="I4" s="3" t="inlineStr">
        <is>
          <t>Age Days</t>
        </is>
      </c>
      <c r="J4" s="3" t="inlineStr">
        <is>
          <t>Bucket</t>
        </is>
      </c>
      <c r="K4" s="3" t="inlineStr">
        <is>
          <t>Account Manager</t>
        </is>
      </c>
      <c r="L4" s="3" t="inlineStr">
        <is>
          <t>Status</t>
        </is>
      </c>
    </row>
    <row r="5">
      <c r="A5" s="4" t="inlineStr">
        <is>
          <t>INV-1005</t>
        </is>
      </c>
      <c r="B5" s="4" t="inlineStr">
        <is>
          <t>Blue Horizon LLC</t>
        </is>
      </c>
      <c r="C5" s="4" t="inlineStr">
        <is>
          <t>Retail</t>
        </is>
      </c>
      <c r="D5" s="5" t="n">
        <v>46027</v>
      </c>
      <c r="E5" s="5" t="n">
        <v>46048</v>
      </c>
      <c r="F5" s="6" t="n">
        <v>1250</v>
      </c>
      <c r="G5" s="6" t="n">
        <v>1250</v>
      </c>
      <c r="H5" s="6" t="n">
        <v>0</v>
      </c>
      <c r="I5" s="7" t="n">
        <v>74</v>
      </c>
      <c r="J5" s="4" t="inlineStr">
        <is>
          <t>60+ Days</t>
        </is>
      </c>
      <c r="K5" s="4" t="inlineStr">
        <is>
          <t>Dana</t>
        </is>
      </c>
      <c r="L5" s="4" t="inlineStr">
        <is>
          <t>Paid</t>
        </is>
      </c>
    </row>
    <row r="6">
      <c r="A6" s="4" t="inlineStr">
        <is>
          <t>INV-1006</t>
        </is>
      </c>
      <c r="B6" s="4" t="inlineStr">
        <is>
          <t>Cedar Group</t>
        </is>
      </c>
      <c r="C6" s="4" t="inlineStr">
        <is>
          <t>Industrial</t>
        </is>
      </c>
      <c r="D6" s="5" t="n">
        <v>46031</v>
      </c>
      <c r="E6" s="5" t="n">
        <v>46052</v>
      </c>
      <c r="F6" s="6" t="n">
        <v>980</v>
      </c>
      <c r="G6" s="6" t="n">
        <v>400</v>
      </c>
      <c r="H6" s="6" t="n">
        <v>580</v>
      </c>
      <c r="I6" s="7" t="n">
        <v>70</v>
      </c>
      <c r="J6" s="4" t="inlineStr">
        <is>
          <t>60+ Days</t>
        </is>
      </c>
      <c r="K6" s="4" t="inlineStr">
        <is>
          <t>Maya</t>
        </is>
      </c>
      <c r="L6" s="4" t="inlineStr">
        <is>
          <t>Overdue</t>
        </is>
      </c>
    </row>
    <row r="7">
      <c r="A7" s="4" t="inlineStr">
        <is>
          <t>INV-1007</t>
        </is>
      </c>
      <c r="B7" s="4" t="inlineStr">
        <is>
          <t>Northline Trading</t>
        </is>
      </c>
      <c r="C7" s="4" t="inlineStr">
        <is>
          <t>Export</t>
        </is>
      </c>
      <c r="D7" s="5" t="n">
        <v>46035</v>
      </c>
      <c r="E7" s="5" t="n">
        <v>46056</v>
      </c>
      <c r="F7" s="6" t="n">
        <v>1750</v>
      </c>
      <c r="G7" s="6" t="n">
        <v>1750</v>
      </c>
      <c r="H7" s="6" t="n">
        <v>0</v>
      </c>
      <c r="I7" s="7" t="n">
        <v>66</v>
      </c>
      <c r="J7" s="4" t="inlineStr">
        <is>
          <t>60+ Days</t>
        </is>
      </c>
      <c r="K7" s="4" t="inlineStr">
        <is>
          <t>Omar</t>
        </is>
      </c>
      <c r="L7" s="4" t="inlineStr">
        <is>
          <t>Paid</t>
        </is>
      </c>
    </row>
    <row r="8">
      <c r="A8" s="4" t="inlineStr">
        <is>
          <t>INV-1008</t>
        </is>
      </c>
      <c r="B8" s="4" t="inlineStr">
        <is>
          <t>Atlas Services</t>
        </is>
      </c>
      <c r="C8" s="4" t="inlineStr">
        <is>
          <t>Corporate</t>
        </is>
      </c>
      <c r="D8" s="5" t="n">
        <v>46039</v>
      </c>
      <c r="E8" s="5" t="n">
        <v>46060</v>
      </c>
      <c r="F8" s="6" t="n">
        <v>640</v>
      </c>
      <c r="G8" s="6" t="n">
        <v>0</v>
      </c>
      <c r="H8" s="6" t="n">
        <v>640</v>
      </c>
      <c r="I8" s="7" t="n">
        <v>62</v>
      </c>
      <c r="J8" s="4" t="inlineStr">
        <is>
          <t>60+ Days</t>
        </is>
      </c>
      <c r="K8" s="4" t="inlineStr">
        <is>
          <t>Lina</t>
        </is>
      </c>
      <c r="L8" s="4" t="inlineStr">
        <is>
          <t>Overdue</t>
        </is>
      </c>
    </row>
    <row r="9">
      <c r="A9" s="4" t="inlineStr">
        <is>
          <t>INV-1009</t>
        </is>
      </c>
      <c r="B9" s="4" t="inlineStr">
        <is>
          <t>Green Wave Co.</t>
        </is>
      </c>
      <c r="C9" s="4" t="inlineStr">
        <is>
          <t>FMCG</t>
        </is>
      </c>
      <c r="D9" s="5" t="n">
        <v>46043</v>
      </c>
      <c r="E9" s="5" t="n">
        <v>46064</v>
      </c>
      <c r="F9" s="6" t="n">
        <v>1120</v>
      </c>
      <c r="G9" s="6" t="n">
        <v>560</v>
      </c>
      <c r="H9" s="6" t="n">
        <v>560</v>
      </c>
      <c r="I9" s="7" t="n">
        <v>58</v>
      </c>
      <c r="J9" s="4" t="inlineStr">
        <is>
          <t>31-60 Days</t>
        </is>
      </c>
      <c r="K9" s="4" t="inlineStr">
        <is>
          <t>Rami</t>
        </is>
      </c>
      <c r="L9" s="4" t="inlineStr">
        <is>
          <t>Overdue</t>
        </is>
      </c>
    </row>
    <row r="10">
      <c r="A10" s="4" t="inlineStr">
        <is>
          <t>INV-1010</t>
        </is>
      </c>
      <c r="B10" s="4" t="inlineStr">
        <is>
          <t>Bright Path Ltd.</t>
        </is>
      </c>
      <c r="C10" s="4" t="inlineStr">
        <is>
          <t>Healthcare</t>
        </is>
      </c>
      <c r="D10" s="5" t="n">
        <v>46047</v>
      </c>
      <c r="E10" s="5" t="n">
        <v>46068</v>
      </c>
      <c r="F10" s="6" t="n">
        <v>1430</v>
      </c>
      <c r="G10" s="6" t="n">
        <v>600</v>
      </c>
      <c r="H10" s="6" t="n">
        <v>830</v>
      </c>
      <c r="I10" s="7" t="n">
        <v>54</v>
      </c>
      <c r="J10" s="4" t="inlineStr">
        <is>
          <t>31-60 Days</t>
        </is>
      </c>
      <c r="K10" s="4" t="inlineStr">
        <is>
          <t>Dana</t>
        </is>
      </c>
      <c r="L10" s="4" t="inlineStr">
        <is>
          <t>Overdue</t>
        </is>
      </c>
    </row>
    <row r="11">
      <c r="A11" s="4" t="inlineStr">
        <is>
          <t>INV-1011</t>
        </is>
      </c>
      <c r="B11" s="4" t="inlineStr">
        <is>
          <t>Urban Core SAL</t>
        </is>
      </c>
      <c r="C11" s="4" t="inlineStr">
        <is>
          <t>Real Estate</t>
        </is>
      </c>
      <c r="D11" s="5" t="n">
        <v>46051</v>
      </c>
      <c r="E11" s="5" t="n">
        <v>46072</v>
      </c>
      <c r="F11" s="6" t="n">
        <v>870</v>
      </c>
      <c r="G11" s="6" t="n">
        <v>870</v>
      </c>
      <c r="H11" s="6" t="n">
        <v>0</v>
      </c>
      <c r="I11" s="7" t="n">
        <v>50</v>
      </c>
      <c r="J11" s="4" t="inlineStr">
        <is>
          <t>31-60 Days</t>
        </is>
      </c>
      <c r="K11" s="4" t="inlineStr">
        <is>
          <t>Maya</t>
        </is>
      </c>
      <c r="L11" s="4" t="inlineStr">
        <is>
          <t>Paid</t>
        </is>
      </c>
    </row>
    <row r="12">
      <c r="A12" s="4" t="inlineStr">
        <is>
          <t>INV-1012</t>
        </is>
      </c>
      <c r="B12" s="4" t="inlineStr">
        <is>
          <t>Mira Tech</t>
        </is>
      </c>
      <c r="C12" s="4" t="inlineStr">
        <is>
          <t>Technology</t>
        </is>
      </c>
      <c r="D12" s="5" t="n">
        <v>46055</v>
      </c>
      <c r="E12" s="5" t="n">
        <v>46076</v>
      </c>
      <c r="F12" s="6" t="n">
        <v>2210</v>
      </c>
      <c r="G12" s="6" t="n">
        <v>1100</v>
      </c>
      <c r="H12" s="6" t="n">
        <v>1110</v>
      </c>
      <c r="I12" s="7" t="n">
        <v>46</v>
      </c>
      <c r="J12" s="4" t="inlineStr">
        <is>
          <t>31-60 Days</t>
        </is>
      </c>
      <c r="K12" s="4" t="inlineStr">
        <is>
          <t>Omar</t>
        </is>
      </c>
      <c r="L12" s="4" t="inlineStr">
        <is>
          <t>Overdue</t>
        </is>
      </c>
    </row>
    <row r="13">
      <c r="A13" s="4" t="inlineStr">
        <is>
          <t>INV-1013</t>
        </is>
      </c>
      <c r="B13" s="4" t="inlineStr">
        <is>
          <t>Summit Retail</t>
        </is>
      </c>
      <c r="C13" s="4" t="inlineStr">
        <is>
          <t>Retail</t>
        </is>
      </c>
      <c r="D13" s="5" t="n">
        <v>46059</v>
      </c>
      <c r="E13" s="5" t="n">
        <v>46080</v>
      </c>
      <c r="F13" s="6" t="n">
        <v>1180</v>
      </c>
      <c r="G13" s="6" t="n">
        <v>0</v>
      </c>
      <c r="H13" s="6" t="n">
        <v>1180</v>
      </c>
      <c r="I13" s="7" t="n">
        <v>42</v>
      </c>
      <c r="J13" s="4" t="inlineStr">
        <is>
          <t>31-60 Days</t>
        </is>
      </c>
      <c r="K13" s="4" t="inlineStr">
        <is>
          <t>Lina</t>
        </is>
      </c>
      <c r="L13" s="4" t="inlineStr">
        <is>
          <t>Overdue</t>
        </is>
      </c>
    </row>
    <row r="14">
      <c r="A14" s="4" t="inlineStr">
        <is>
          <t>INV-1014</t>
        </is>
      </c>
      <c r="B14" s="4" t="inlineStr">
        <is>
          <t>Luna Foods</t>
        </is>
      </c>
      <c r="C14" s="4" t="inlineStr">
        <is>
          <t>FMCG</t>
        </is>
      </c>
      <c r="D14" s="5" t="n">
        <v>46063</v>
      </c>
      <c r="E14" s="5" t="n">
        <v>46084</v>
      </c>
      <c r="F14" s="6" t="n">
        <v>965</v>
      </c>
      <c r="G14" s="6" t="n">
        <v>965</v>
      </c>
      <c r="H14" s="6" t="n">
        <v>0</v>
      </c>
      <c r="I14" s="7" t="n">
        <v>38</v>
      </c>
      <c r="J14" s="4" t="inlineStr">
        <is>
          <t>31-60 Days</t>
        </is>
      </c>
      <c r="K14" s="4" t="inlineStr">
        <is>
          <t>Rami</t>
        </is>
      </c>
      <c r="L14" s="4" t="inlineStr">
        <is>
          <t>Paid</t>
        </is>
      </c>
    </row>
    <row r="15">
      <c r="A15" s="4" t="inlineStr">
        <is>
          <t>INV-1015</t>
        </is>
      </c>
      <c r="B15" s="4" t="inlineStr">
        <is>
          <t>Elite Build</t>
        </is>
      </c>
      <c r="C15" s="4" t="inlineStr">
        <is>
          <t>Construction</t>
        </is>
      </c>
      <c r="D15" s="5" t="n">
        <v>46067</v>
      </c>
      <c r="E15" s="5" t="n">
        <v>46088</v>
      </c>
      <c r="F15" s="6" t="n">
        <v>1540</v>
      </c>
      <c r="G15" s="6" t="n">
        <v>800</v>
      </c>
      <c r="H15" s="6" t="n">
        <v>740</v>
      </c>
      <c r="I15" s="7" t="n">
        <v>34</v>
      </c>
      <c r="J15" s="4" t="inlineStr">
        <is>
          <t>31-60 Days</t>
        </is>
      </c>
      <c r="K15" s="4" t="inlineStr">
        <is>
          <t>Dana</t>
        </is>
      </c>
      <c r="L15" s="4" t="inlineStr">
        <is>
          <t>Overdue</t>
        </is>
      </c>
    </row>
    <row r="16">
      <c r="A16" s="4" t="inlineStr">
        <is>
          <t>INV-1016</t>
        </is>
      </c>
      <c r="B16" s="4" t="inlineStr">
        <is>
          <t>Nova Logistics</t>
        </is>
      </c>
      <c r="C16" s="4" t="inlineStr">
        <is>
          <t>Logistics</t>
        </is>
      </c>
      <c r="D16" s="5" t="n">
        <v>46071</v>
      </c>
      <c r="E16" s="5" t="n">
        <v>46092</v>
      </c>
      <c r="F16" s="6" t="n">
        <v>1980</v>
      </c>
      <c r="G16" s="6" t="n">
        <v>900</v>
      </c>
      <c r="H16" s="6" t="n">
        <v>1080</v>
      </c>
      <c r="I16" s="7" t="n">
        <v>30</v>
      </c>
      <c r="J16" s="4" t="inlineStr">
        <is>
          <t>1-30 Days</t>
        </is>
      </c>
      <c r="K16" s="4" t="inlineStr">
        <is>
          <t>Maya</t>
        </is>
      </c>
      <c r="L16" s="4" t="inlineStr">
        <is>
          <t>Pending</t>
        </is>
      </c>
    </row>
    <row r="17">
      <c r="A17" s="4" t="inlineStr">
        <is>
          <t>INV-1017</t>
        </is>
      </c>
      <c r="B17" s="4" t="inlineStr">
        <is>
          <t>Prime Care Labs</t>
        </is>
      </c>
      <c r="C17" s="4" t="inlineStr">
        <is>
          <t>Healthcare</t>
        </is>
      </c>
      <c r="D17" s="5" t="n">
        <v>46075</v>
      </c>
      <c r="E17" s="5" t="n">
        <v>46096</v>
      </c>
      <c r="F17" s="6" t="n">
        <v>2460</v>
      </c>
      <c r="G17" s="6" t="n">
        <v>1200</v>
      </c>
      <c r="H17" s="6" t="n">
        <v>1260</v>
      </c>
      <c r="I17" s="7" t="n">
        <v>26</v>
      </c>
      <c r="J17" s="4" t="inlineStr">
        <is>
          <t>1-30 Days</t>
        </is>
      </c>
      <c r="K17" s="4" t="inlineStr">
        <is>
          <t>Omar</t>
        </is>
      </c>
      <c r="L17" s="4" t="inlineStr">
        <is>
          <t>Pending</t>
        </is>
      </c>
    </row>
    <row r="18">
      <c r="A18" s="4" t="inlineStr">
        <is>
          <t>INV-1018</t>
        </is>
      </c>
      <c r="B18" s="4" t="inlineStr">
        <is>
          <t>Golden Bridge</t>
        </is>
      </c>
      <c r="C18" s="4" t="inlineStr">
        <is>
          <t>Trading</t>
        </is>
      </c>
      <c r="D18" s="5" t="n">
        <v>46079</v>
      </c>
      <c r="E18" s="5" t="n">
        <v>46100</v>
      </c>
      <c r="F18" s="6" t="n">
        <v>1340</v>
      </c>
      <c r="G18" s="6" t="n">
        <v>500</v>
      </c>
      <c r="H18" s="6" t="n">
        <v>840</v>
      </c>
      <c r="I18" s="7" t="n">
        <v>22</v>
      </c>
      <c r="J18" s="4" t="inlineStr">
        <is>
          <t>1-30 Days</t>
        </is>
      </c>
      <c r="K18" s="4" t="inlineStr">
        <is>
          <t>Lina</t>
        </is>
      </c>
      <c r="L18" s="4" t="inlineStr">
        <is>
          <t>Pending</t>
        </is>
      </c>
    </row>
    <row r="19">
      <c r="A19" s="4" t="inlineStr">
        <is>
          <t>INV-1019</t>
        </is>
      </c>
      <c r="B19" s="4" t="inlineStr">
        <is>
          <t>Vertex Telecom</t>
        </is>
      </c>
      <c r="C19" s="4" t="inlineStr">
        <is>
          <t>Technology</t>
        </is>
      </c>
      <c r="D19" s="5" t="n">
        <v>46083</v>
      </c>
      <c r="E19" s="5" t="n">
        <v>46104</v>
      </c>
      <c r="F19" s="6" t="n">
        <v>2750</v>
      </c>
      <c r="G19" s="6" t="n">
        <v>1700</v>
      </c>
      <c r="H19" s="6" t="n">
        <v>1050</v>
      </c>
      <c r="I19" s="7" t="n">
        <v>18</v>
      </c>
      <c r="J19" s="4" t="inlineStr">
        <is>
          <t>1-30 Days</t>
        </is>
      </c>
      <c r="K19" s="4" t="inlineStr">
        <is>
          <t>Rami</t>
        </is>
      </c>
      <c r="L19" s="4" t="inlineStr">
        <is>
          <t>Pending</t>
        </is>
      </c>
    </row>
    <row r="20">
      <c r="A20" s="4" t="inlineStr">
        <is>
          <t>INV-1020</t>
        </is>
      </c>
      <c r="B20" s="4" t="inlineStr">
        <is>
          <t>Crown Packaging</t>
        </is>
      </c>
      <c r="C20" s="4" t="inlineStr">
        <is>
          <t>Manufacturing</t>
        </is>
      </c>
      <c r="D20" s="5" t="n">
        <v>46087</v>
      </c>
      <c r="E20" s="5" t="n">
        <v>46108</v>
      </c>
      <c r="F20" s="6" t="n">
        <v>1860</v>
      </c>
      <c r="G20" s="6" t="n">
        <v>1000</v>
      </c>
      <c r="H20" s="6" t="n">
        <v>860</v>
      </c>
      <c r="I20" s="7" t="n">
        <v>14</v>
      </c>
      <c r="J20" s="4" t="inlineStr">
        <is>
          <t>1-30 Days</t>
        </is>
      </c>
      <c r="K20" s="4" t="inlineStr">
        <is>
          <t>Dana</t>
        </is>
      </c>
      <c r="L20" s="4" t="inlineStr">
        <is>
          <t>Pending</t>
        </is>
      </c>
    </row>
    <row r="21">
      <c r="A21" s="4" t="inlineStr">
        <is>
          <t>INV-1021</t>
        </is>
      </c>
      <c r="B21" s="4" t="inlineStr">
        <is>
          <t>Harbor Marine</t>
        </is>
      </c>
      <c r="C21" s="4" t="inlineStr">
        <is>
          <t>Logistics</t>
        </is>
      </c>
      <c r="D21" s="5" t="n">
        <v>46091</v>
      </c>
      <c r="E21" s="5" t="n">
        <v>46112</v>
      </c>
      <c r="F21" s="6" t="n">
        <v>2250</v>
      </c>
      <c r="G21" s="6" t="n">
        <v>1500</v>
      </c>
      <c r="H21" s="6" t="n">
        <v>750</v>
      </c>
      <c r="I21" s="7" t="n">
        <v>10</v>
      </c>
      <c r="J21" s="4" t="inlineStr">
        <is>
          <t>1-30 Days</t>
        </is>
      </c>
      <c r="K21" s="4" t="inlineStr">
        <is>
          <t>Maya</t>
        </is>
      </c>
      <c r="L21" s="4" t="inlineStr">
        <is>
          <t>Pending</t>
        </is>
      </c>
    </row>
    <row r="22">
      <c r="A22" s="4" t="inlineStr">
        <is>
          <t>INV-1022</t>
        </is>
      </c>
      <c r="B22" s="4" t="inlineStr">
        <is>
          <t>Silver Stone</t>
        </is>
      </c>
      <c r="C22" s="4" t="inlineStr">
        <is>
          <t>Construction</t>
        </is>
      </c>
      <c r="D22" s="5" t="n">
        <v>46095</v>
      </c>
      <c r="E22" s="5" t="n">
        <v>46116</v>
      </c>
      <c r="F22" s="6" t="n">
        <v>1425</v>
      </c>
      <c r="G22" s="6" t="n">
        <v>600</v>
      </c>
      <c r="H22" s="6" t="n">
        <v>825</v>
      </c>
      <c r="I22" s="7" t="n">
        <v>6</v>
      </c>
      <c r="J22" s="4" t="inlineStr">
        <is>
          <t>1-30 Days</t>
        </is>
      </c>
      <c r="K22" s="4" t="inlineStr">
        <is>
          <t>Omar</t>
        </is>
      </c>
      <c r="L22" s="4" t="inlineStr">
        <is>
          <t>Pending</t>
        </is>
      </c>
    </row>
    <row r="23">
      <c r="A23" s="4" t="inlineStr">
        <is>
          <t>INV-1023</t>
        </is>
      </c>
      <c r="B23" s="4" t="inlineStr">
        <is>
          <t>Omega Retail</t>
        </is>
      </c>
      <c r="C23" s="4" t="inlineStr">
        <is>
          <t>Retail</t>
        </is>
      </c>
      <c r="D23" s="5" t="n">
        <v>46099</v>
      </c>
      <c r="E23" s="5" t="n">
        <v>46120</v>
      </c>
      <c r="F23" s="6" t="n">
        <v>1195</v>
      </c>
      <c r="G23" s="6" t="n">
        <v>300</v>
      </c>
      <c r="H23" s="6" t="n">
        <v>895</v>
      </c>
      <c r="I23" s="7" t="n">
        <v>2</v>
      </c>
      <c r="J23" s="4" t="inlineStr">
        <is>
          <t>1-30 Days</t>
        </is>
      </c>
      <c r="K23" s="4" t="inlineStr">
        <is>
          <t>Lina</t>
        </is>
      </c>
      <c r="L23" s="4" t="inlineStr">
        <is>
          <t>Pending</t>
        </is>
      </c>
    </row>
    <row r="24">
      <c r="A24" s="4" t="inlineStr">
        <is>
          <t>INV-1024</t>
        </is>
      </c>
      <c r="B24" s="4" t="inlineStr">
        <is>
          <t>Peak Energy</t>
        </is>
      </c>
      <c r="C24" s="4" t="inlineStr">
        <is>
          <t>Utilities</t>
        </is>
      </c>
      <c r="D24" s="5" t="n">
        <v>46103</v>
      </c>
      <c r="E24" s="5" t="n">
        <v>46124</v>
      </c>
      <c r="F24" s="6" t="n">
        <v>3140</v>
      </c>
      <c r="G24" s="6" t="n">
        <v>2100</v>
      </c>
      <c r="H24" s="6" t="n">
        <v>1040</v>
      </c>
      <c r="I24" s="7" t="n">
        <v>0</v>
      </c>
      <c r="J24" s="4" t="inlineStr">
        <is>
          <t>Current</t>
        </is>
      </c>
      <c r="K24" s="4" t="inlineStr">
        <is>
          <t>Rami</t>
        </is>
      </c>
      <c r="L24" s="4" t="inlineStr">
        <is>
          <t>Pending</t>
        </is>
      </c>
    </row>
  </sheetData>
  <autoFilter ref="A4:L2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1" customWidth="1" min="4" max="4"/>
  </cols>
  <sheetData>
    <row r="1">
      <c r="A1" s="1" t="inlineStr">
        <is>
          <t>Aging Analysis Summary</t>
        </is>
      </c>
    </row>
    <row r="2">
      <c r="A2" s="2" t="inlineStr">
        <is>
          <t>Receivables grouped by aging bucket</t>
        </is>
      </c>
    </row>
    <row r="3"/>
    <row r="4">
      <c r="A4" s="3" t="inlineStr">
        <is>
          <t>Bucket</t>
        </is>
      </c>
      <c r="B4" s="3" t="inlineStr">
        <is>
          <t>Invoice Count</t>
        </is>
      </c>
      <c r="C4" s="3" t="inlineStr">
        <is>
          <t>Outstanding Amount</t>
        </is>
      </c>
      <c r="D4" s="3" t="inlineStr">
        <is>
          <t>Collection Priority</t>
        </is>
      </c>
    </row>
    <row r="5">
      <c r="A5" s="4" t="inlineStr">
        <is>
          <t>Current</t>
        </is>
      </c>
      <c r="B5" s="4">
        <f>COUNTIF('Receivables Ledger'!J5:J24,A5)</f>
        <v/>
      </c>
      <c r="C5" s="4">
        <f>SUMIF('Receivables Ledger'!J5:J24,A5,'Receivables Ledger'!H5:H24)</f>
        <v/>
      </c>
      <c r="D5" s="4" t="inlineStr">
        <is>
          <t>Normal</t>
        </is>
      </c>
    </row>
    <row r="6">
      <c r="A6" s="4" t="inlineStr">
        <is>
          <t>1-30 Days</t>
        </is>
      </c>
      <c r="B6" s="4">
        <f>COUNTIF('Receivables Ledger'!J5:J24,A6)</f>
        <v/>
      </c>
      <c r="C6" s="4">
        <f>SUMIF('Receivables Ledger'!J5:J24,A6,'Receivables Ledger'!H5:H24)</f>
        <v/>
      </c>
      <c r="D6" s="4" t="inlineStr">
        <is>
          <t>Follow-up</t>
        </is>
      </c>
    </row>
    <row r="7">
      <c r="A7" s="4" t="inlineStr">
        <is>
          <t>31-60 Days</t>
        </is>
      </c>
      <c r="B7" s="4">
        <f>COUNTIF('Receivables Ledger'!J5:J24,A7)</f>
        <v/>
      </c>
      <c r="C7" s="4">
        <f>SUMIF('Receivables Ledger'!J5:J24,A7,'Receivables Ledger'!H5:H24)</f>
        <v/>
      </c>
      <c r="D7" s="4" t="inlineStr">
        <is>
          <t>Urgent</t>
        </is>
      </c>
    </row>
    <row r="8">
      <c r="A8" s="4" t="inlineStr">
        <is>
          <t>60+ Days</t>
        </is>
      </c>
      <c r="B8" s="4">
        <f>COUNTIF('Receivables Ledger'!J5:J24,A8)</f>
        <v/>
      </c>
      <c r="C8" s="4">
        <f>SUMIF('Receivables Ledger'!J5:J24,A8,'Receivables Ledger'!H5:H24)</f>
        <v/>
      </c>
      <c r="D8" s="4" t="inlineStr">
        <is>
          <t>Critical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2" customWidth="1" min="4" max="4"/>
    <col width="22" customWidth="1" min="5" max="5"/>
  </cols>
  <sheetData>
    <row r="1">
      <c r="A1" s="1" t="inlineStr">
        <is>
          <t>Collection Follow-Up Notes</t>
        </is>
      </c>
    </row>
    <row r="2">
      <c r="A2" s="2" t="inlineStr">
        <is>
          <t>Recent actions taken by the collections team</t>
        </is>
      </c>
    </row>
    <row r="3"/>
    <row r="4">
      <c r="A4" s="3" t="inlineStr">
        <is>
          <t>Date</t>
        </is>
      </c>
      <c r="B4" s="3" t="inlineStr">
        <is>
          <t>Client</t>
        </is>
      </c>
      <c r="C4" s="3" t="inlineStr">
        <is>
          <t>Action Taken</t>
        </is>
      </c>
      <c r="D4" s="3" t="inlineStr">
        <is>
          <t>Owner</t>
        </is>
      </c>
      <c r="E4" s="3" t="inlineStr">
        <is>
          <t>Next Step</t>
        </is>
      </c>
    </row>
    <row r="5">
      <c r="A5" s="5" t="n">
        <v>46093</v>
      </c>
      <c r="B5" s="4" t="inlineStr">
        <is>
          <t>Atlas Services</t>
        </is>
      </c>
      <c r="C5" s="4" t="inlineStr">
        <is>
          <t>Reminder email sent with statement of account</t>
        </is>
      </c>
      <c r="D5" s="4" t="inlineStr">
        <is>
          <t>Lina</t>
        </is>
      </c>
      <c r="E5" s="4" t="inlineStr">
        <is>
          <t>Call finance manager</t>
        </is>
      </c>
    </row>
    <row r="6">
      <c r="A6" s="5" t="n">
        <v>46096</v>
      </c>
      <c r="B6" s="4" t="inlineStr">
        <is>
          <t>Mira Tech</t>
        </is>
      </c>
      <c r="C6" s="4" t="inlineStr">
        <is>
          <t>Escalated overdue balance to account lead</t>
        </is>
      </c>
      <c r="D6" s="4" t="inlineStr">
        <is>
          <t>Omar</t>
        </is>
      </c>
      <c r="E6" s="4" t="inlineStr">
        <is>
          <t>Set payment plan</t>
        </is>
      </c>
    </row>
    <row r="7">
      <c r="A7" s="5" t="n">
        <v>46099</v>
      </c>
      <c r="B7" s="4" t="inlineStr">
        <is>
          <t>Elite Build</t>
        </is>
      </c>
      <c r="C7" s="4" t="inlineStr">
        <is>
          <t>Received partial payment confirmation</t>
        </is>
      </c>
      <c r="D7" s="4" t="inlineStr">
        <is>
          <t>Dana</t>
        </is>
      </c>
      <c r="E7" s="4" t="inlineStr">
        <is>
          <t>Follow up on remaining balance</t>
        </is>
      </c>
    </row>
    <row r="8">
      <c r="A8" s="5" t="n">
        <v>46101</v>
      </c>
      <c r="B8" s="4" t="inlineStr">
        <is>
          <t>Nova Logistics</t>
        </is>
      </c>
      <c r="C8" s="4" t="inlineStr">
        <is>
          <t>Shared updated invoice copy and due date details</t>
        </is>
      </c>
      <c r="D8" s="4" t="inlineStr">
        <is>
          <t>Maya</t>
        </is>
      </c>
      <c r="E8" s="4" t="inlineStr">
        <is>
          <t>Await remittance advice</t>
        </is>
      </c>
    </row>
    <row r="9">
      <c r="A9" s="5" t="n">
        <v>46105</v>
      </c>
      <c r="B9" s="4" t="inlineStr">
        <is>
          <t>Peak Energy</t>
        </is>
      </c>
      <c r="C9" s="4" t="inlineStr">
        <is>
          <t>Scheduled collections review meeting</t>
        </is>
      </c>
      <c r="D9" s="4" t="inlineStr">
        <is>
          <t>Rami</t>
        </is>
      </c>
      <c r="E9" s="4" t="inlineStr">
        <is>
          <t>Review credit terms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2026-04-10T09:50:39Z</dcterms:created>
  <dcterms:modified xsi:type="dcterms:W3CDTF">2026-04-10T09:50:39Z</dcterms:modified>
</cp:coreProperties>
</file>